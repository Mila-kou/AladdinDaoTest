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6c2693eb0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6942eb5230c4515"/>
    <x:sheet xmlns:r="http://schemas.openxmlformats.org/officeDocument/2006/relationships" name="参数定义" sheetId="2" r:id="Re988b008e20e4ba5"/>
    <x:sheet xmlns:r="http://schemas.openxmlformats.org/officeDocument/2006/relationships" name="链上已设置" sheetId="3" r:id="Rf16f436cff5f4097"/>
    <x:sheet xmlns:r="http://schemas.openxmlformats.org/officeDocument/2006/relationships" name="版本变化" sheetId="4" r:id="R0fddf5e26a1e495c"/>
    <x:sheet xmlns:r="http://schemas.openxmlformats.org/officeDocument/2006/relationships" name="部署信息" sheetId="5" r:id="Rd4548d41b49b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3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56b2c01514d56" /><Relationship Type="http://schemas.openxmlformats.org/officeDocument/2006/relationships/theme" Target="/xl/theme/theme1.xml" Id="Rb0950b27dfe84e14" /><Relationship Type="http://schemas.openxmlformats.org/officeDocument/2006/relationships/sharedStrings" Target="/xl/sharedStrings.xml" Id="R24237b0dc2e441b0" /><Relationship Type="http://schemas.openxmlformats.org/officeDocument/2006/relationships/worksheet" Target="/xl/worksheets/sheet1.xml" Id="R66942eb5230c4515" /><Relationship Type="http://schemas.openxmlformats.org/officeDocument/2006/relationships/worksheet" Target="/xl/worksheets/sheet2.xml" Id="Re988b008e20e4ba5" /><Relationship Type="http://schemas.openxmlformats.org/officeDocument/2006/relationships/worksheet" Target="/xl/worksheets/sheet3.xml" Id="Rf16f436cff5f4097" /><Relationship Type="http://schemas.openxmlformats.org/officeDocument/2006/relationships/worksheet" Target="/xl/worksheets/sheet4.xml" Id="R0fddf5e26a1e495c" /><Relationship Type="http://schemas.openxmlformats.org/officeDocument/2006/relationships/worksheet" Target="/xl/worksheets/sheet5.xml" Id="Rd4548d41b49b4d0f" /></Relationships>
</file>

<file path=xl/tables/table1.xml><?xml version="1.0" encoding="utf-8"?>
<x:table xmlns:x="http://schemas.openxmlformats.org/spreadsheetml/2006/main" id="1" name="ParameterDefinitionsV032" displayName="ParameterDefinitionsV032" ref="A1:O398" headerRowCount="1" totalsRowCount="0" totalsRowShown="0">
  <x:tableColumns count="15">
    <x:tableColumn id="1" name="序号"/>
    <x:tableColumn id="2" name="记录类型"/>
    <x:tableColumn id="3" name="参数/函数"/>
    <x:tableColumn id="4" name="基础键"/>
    <x:tableColumn id="5" name="字面量"/>
    <x:tableColumn id="6" name="Key/Hash"/>
    <x:tableColumn id="7" name="Key 构造模式"/>
    <x:tableColumn id="8" name="参数签名"/>
    <x:tableColumn id="9" name="值类型"/>
    <x:tableColumn id="10" name="作用域维度"/>
    <x:tableColumn id="11" name="Config 可设"/>
    <x:tableColumn id="12" name="Limited 可设"/>
    <x:tableColumn id="13" name="写入入口"/>
    <x:tableColumn id="14" name="版本状态"/>
    <x:tableColumn id="15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uredValuesTxFork260902" displayName="ConfiguredValuesTxFork260902" ref="A1:J125" headerRowCount="1" totalsRowCount="0" totalsRowShown="0">
  <x:tableColumns count="10">
    <x:tableColumn id="1" name="序号"/>
    <x:tableColumn id="2" name="分组"/>
    <x:tableColumn id="3" name="基础键"/>
    <x:tableColumn id="4" name="维度/实例"/>
    <x:tableColumn id="5" name="类型"/>
    <x:tableColumn id="6" name="链上值"/>
    <x:tableColumn id="7" name="DataStore Key"/>
    <x:tableColumn id="8" name="Key 构造"/>
    <x:tableColumn id="9" name="类型来源"/>
    <x:tableColumn id="10" name="快照区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sionChangesV032" displayName="VersionChangesV032" ref="A1:F16" headerRowCount="1" totalsRowCount="0" totalsRowShown="0">
  <x:tableColumns count="6">
    <x:tableColumn id="1" name="序号"/>
    <x:tableColumn id="2" name="参数/功能"/>
    <x:tableColumn id="3" name="变化类型"/>
    <x:tableColumn id="4" name="v0.3.2 口径"/>
    <x:tableColumn id="5" name="关键测试断言"/>
    <x:tableColumn id="6" name="源码/证据锚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loymentInfoTxFork260902" displayName="DeploymentInfoTxFork260902" ref="A1:D51" headerRowCount="1" totalsRowCount="0" totalsRowShown="0">
  <x:tableColumns count="4">
    <x:tableColumn id="1" name="类别"/>
    <x:tableColumn id="2" name="名称"/>
    <x:tableColumn id="3" name="值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c701f2b53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b5c9c1272a45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911956bc684f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bd4d88d525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4" hidden="0" customWidth="1"/>
    <x:col min="3" max="3" width="3" hidden="0" customWidth="1"/>
    <x:col min="4" max="4" width="24" hidden="0" customWidth="1"/>
    <x:col min="5" max="5" width="16" hidden="0" customWidth="1"/>
    <x:col min="6" max="6" width="16" hidden="0" customWidth="1"/>
  </x:cols>
  <x:sheetData>
    <x:row r="1" ht="34" customHeight="1">
      <x:c r="A1" s="4" t="str">
        <x:v>FX100 v0.3.2 合约参数定义与 tx-fork 快照</x:v>
      </x:c>
      <x:c r="B1" s="4"/>
      <x:c r="C1" s="4"/>
      <x:c r="D1" s="4"/>
      <x:c r="E1" s="4"/>
      <x:c r="F1" s="4"/>
    </x:row>
    <x:row r="3" ht="34" customHeight="1">
      <x:c r="A3" s="10" t="str">
        <x:v>字段</x:v>
      </x:c>
      <x:c r="B3" s="10" t="str">
        <x:v>值</x:v>
      </x:c>
      <x:c r="D3" s="10" t="str">
        <x:v>统计</x:v>
      </x:c>
      <x:c r="E3" s="10" t="str">
        <x:v>数量</x:v>
      </x:c>
    </x:row>
    <x:row r="4">
      <x:c r="A4" s="14" t="str">
        <x:v>合约版本</x:v>
      </x:c>
      <x:c r="B4" s="14" t="str">
        <x:v>v0.3.2</x:v>
      </x:c>
      <x:c r="D4" s="14" t="str">
        <x:v>参数常量</x:v>
      </x:c>
      <x:c r="E4" s="14" t="n">
        <x:f>COUNTIF('参数定义'!B2:B398,"常量")</x:f>
        <x:v>245</x:v>
      </x:c>
    </x:row>
    <x:row r="5">
      <x:c r="A5" s="14" t="str">
        <x:v>合约 commit</x:v>
      </x:c>
      <x:c r="B5" s="14" t="str">
        <x:v>13880f2416918f4fed3fea86d7f1023084a3ce0d</x:v>
      </x:c>
      <x:c r="D5" s="14" t="str">
        <x:v>派生 Key 函数</x:v>
      </x:c>
      <x:c r="E5" s="14" t="n">
        <x:f>COUNTIF('参数定义'!B2:B398,"派生 Key")</x:f>
        <x:v>152</x:v>
      </x:c>
    </x:row>
    <x:row r="6">
      <x:c r="A6" s="14" t="str">
        <x:v>deployment</x:v>
      </x:c>
      <x:c r="B6" s="14" t="str">
        <x:v>tx-fork-v0.3.2-260902</x:v>
      </x:c>
      <x:c r="D6" s="14" t="str">
        <x:v>Config 可设常量</x:v>
      </x:c>
      <x:c r="E6" s="14" t="n">
        <x:f>COUNTIFS('参数定义'!B2:B398,"常量",'参数定义'!K2:K398,"是")</x:f>
        <x:v>138</x:v>
      </x:c>
    </x:row>
    <x:row r="7">
      <x:c r="A7" s="14" t="str">
        <x:v>chainId</x:v>
      </x:c>
      <x:c r="B7" s="14" t="str">
        <x:v>99911</x:v>
      </x:c>
      <x:c r="D7" s="14" t="str">
        <x:v>Limited 可设常量</x:v>
      </x:c>
      <x:c r="E7" s="14" t="n">
        <x:f>COUNTIFS('参数定义'!B2:B398,"常量",'参数定义'!L2:L398,"是")</x:f>
        <x:v>12</x:v>
      </x:c>
    </x:row>
    <x:row r="8">
      <x:c r="A8" s="14" t="str">
        <x:v>参数快照块高</x:v>
      </x:c>
      <x:c r="B8" s="14" t="str">
        <x:v>46282993</x:v>
      </x:c>
      <x:c r="D8" s="14" t="str">
        <x:v>链上探测总数</x:v>
      </x:c>
      <x:c r="E8" s="14" t="n">
        <x:v>1969</x:v>
      </x:c>
    </x:row>
    <x:row r="9">
      <x:c r="D9" s="14" t="str">
        <x:v>链上已设置</x:v>
      </x:c>
      <x:c r="E9" s="14" t="n">
        <x:f>COUNTA('链上已设置'!A2:A125)</x:f>
        <x:v>124</x:v>
      </x:c>
    </x:row>
    <x:row r="10">
      <x:c r="D10" s="14" t="str">
        <x:v>链上未设置</x:v>
      </x:c>
      <x:c r="E10" s="14" t="n">
        <x:f>E8-E9</x:f>
        <x:v>1845</x:v>
      </x:c>
    </x:row>
    <x:row r="11">
      <x:c r="D11" s="14" t="str">
        <x:v>读取错误</x:v>
      </x:c>
      <x:c r="E11" s="14" t="n">
        <x:v>0</x:v>
      </x:c>
    </x:row>
    <x:row r="13">
      <x:c r="A13" s="15" t="str">
        <x:v>使用说明</x:v>
      </x:c>
      <x:c r="B13" s="15" t="str"/>
      <x:c r="C13" s="15" t="str"/>
      <x:c r="D13" s="15" t="str"/>
      <x:c r="E13" s="15" t="str"/>
      <x:c r="F13" s="15" t="str"/>
    </x:row>
    <x:row r="14">
      <x:c r="A14" s="14" t="str">
        <x:v>1</x:v>
      </x:c>
      <x:c r="B14" s="14" t="str">
        <x:v>参数定义绑定合约 commit；链上值绑定 deployment + chainId + blockNumber。</x:v>
      </x:c>
      <x:c r="C14" s="14" t="str"/>
      <x:c r="D14" s="14" t="str"/>
      <x:c r="E14" s="14" t="str"/>
      <x:c r="F14" s="14" t="str"/>
    </x:row>
    <x:row r="15">
      <x:c r="A15" s="14" t="str">
        <x:v>2</x:v>
      </x:c>
      <x:c r="B15" s="14" t="str">
        <x:v>“链上已设置”只列 124 条实际有值的键；全量探测证据见 parameters.json。</x:v>
      </x:c>
      <x:c r="C15" s="14" t="str"/>
      <x:c r="D15" s="14" t="str"/>
      <x:c r="E15" s="14" t="str"/>
      <x:c r="F15" s="14" t="str"/>
    </x:row>
    <x:row r="16">
      <x:c r="A16" s="14" t="str">
        <x:v>3</x:v>
      </x:c>
      <x:c r="B16" s="14" t="str">
        <x:v>本快照不包含合约工作树中未提交补丁。</x:v>
      </x:c>
      <x:c r="C16" s="14" t="str"/>
      <x:c r="D16" s="14" t="str"/>
      <x:c r="E16" s="14" t="str"/>
      <x:c r="F16" s="14" t="str"/>
    </x:row>
    <x:row r="17">
      <x:c r="A17" s="14" t="str">
        <x:v>4</x:v>
      </x:c>
      <x:c r="B17" s="14" t="str">
        <x:v>CSV 是参数定义的可机读镜像；XLSX 为审阅版，两者由本批数据同时生成。</x:v>
      </x:c>
      <x:c r="C17" s="14" t="str"/>
      <x:c r="D17" s="14" t="str"/>
      <x:c r="E17" s="14" t="str"/>
      <x:c r="F17" s="14" t="str"/>
    </x:row>
  </x:sheetData>
  <x:mergeCells>
    <x:mergeCell ref="A1:F1"/>
    <x:mergeCell ref="A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28" hidden="0" customWidth="1"/>
    <x:col min="5" max="5" width="26" hidden="0" customWidth="1"/>
    <x:col min="6" max="6" width="38" hidden="0" customWidth="1"/>
    <x:col min="7" max="7" width="34" hidden="0" customWidth="1"/>
    <x:col min="8" max="8" width="4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28" hidden="0" customWidth="1"/>
    <x:col min="14" max="14" width="20" hidden="0" customWidth="1"/>
    <x:col min="15" max="15" width="38" hidden="0" customWidth="1"/>
  </x:cols>
  <x:sheetData>
    <x:row r="1" ht="34" customHeight="1">
      <x:c r="A1" s="10" t="str">
        <x:v>序号</x:v>
      </x:c>
      <x:c r="B1" s="10" t="str">
        <x:v>记录类型</x:v>
      </x:c>
      <x:c r="C1" s="10" t="str">
        <x:v>参数/函数</x:v>
      </x:c>
      <x:c r="D1" s="10" t="str">
        <x:v>基础键</x:v>
      </x:c>
      <x:c r="E1" s="10" t="str">
        <x:v>字面量</x:v>
      </x:c>
      <x:c r="F1" s="10" t="str">
        <x:v>Key/Hash</x:v>
      </x:c>
      <x:c r="G1" s="10" t="str">
        <x:v>Key 构造模式</x:v>
      </x:c>
      <x:c r="H1" s="10" t="str">
        <x:v>参数签名</x:v>
      </x:c>
      <x:c r="I1" s="10" t="str">
        <x:v>值类型</x:v>
      </x:c>
      <x:c r="J1" s="10" t="str">
        <x:v>作用域维度</x:v>
      </x:c>
      <x:c r="K1" s="10" t="str">
        <x:v>Config 可设</x:v>
      </x:c>
      <x:c r="L1" s="10" t="str">
        <x:v>Limited 可设</x:v>
      </x:c>
      <x:c r="M1" s="10" t="str">
        <x:v>写入入口</x:v>
      </x:c>
      <x:c r="N1" s="10" t="str">
        <x:v>版本状态</x:v>
      </x:c>
      <x:c r="O1" s="10" t="str">
        <x:v>来源</x:v>
      </x:c>
    </x:row>
    <x:row r="2">
      <x:c r="A2" s="16" t="n">
        <x:v>1</x:v>
      </x:c>
      <x:c r="B2" s="14" t="str">
        <x:v>常量</x:v>
      </x:c>
      <x:c r="C2" s="14" t="str">
        <x:v>LIQUIDATION_GRACE_PERIOD_BASE</x:v>
      </x:c>
      <x:c r="D2" s="14" t="str">
        <x:v>LIQUIDATION_GRACE_PERIOD_BASE</x:v>
      </x:c>
      <x:c r="E2" s="14" t="str">
        <x:v>LIQUIDATION_GRACE_PERIOD_BASE</x:v>
      </x:c>
      <x:c r="F2" s="14" t="str">
        <x:v>⁠0x9c99490aed4e1fcee2199fa23e105d0d413f924b423098f7e44621028a171c29</x:v>
      </x:c>
      <x:c r="G2" s="14" t="str">
        <x:v>raw</x:v>
      </x:c>
      <x:c r="H2" s="14" t="str"/>
      <x:c r="I2" s="14" t="str">
        <x:v>uint</x:v>
      </x:c>
      <x:c r="J2" s="14" t="str">
        <x:v>market</x:v>
      </x:c>
      <x:c r="K2" s="16" t="str">
        <x:v>否</x:v>
      </x:c>
      <x:c r="L2" s="16" t="str">
        <x:v>否</x:v>
      </x:c>
      <x:c r="M2" s="14" t="str">
        <x:v>DataStore 直写(CONTROLLER)</x:v>
      </x:c>
      <x:c r="N2" s="14" t="str">
        <x:v>沿用/见变更表</x:v>
      </x:c>
      <x:c r="O2" s="14" t="str">
        <x:v>FX100Keys.sol / Config.sol / registry-v0.3.2.json</x:v>
      </x:c>
    </x:row>
    <x:row r="3">
      <x:c r="A3" s="16" t="n">
        <x:v>2</x:v>
      </x:c>
      <x:c r="B3" s="14" t="str">
        <x:v>常量</x:v>
      </x:c>
      <x:c r="C3" s="14" t="str">
        <x:v>LIQUIDATION_GRACE_PERIOD_TIER_MULTIPLIER</x:v>
      </x:c>
      <x:c r="D3" s="14" t="str">
        <x:v>LIQUIDATION_GRACE_PERIOD_TIER_MULTIPLIER</x:v>
      </x:c>
      <x:c r="E3" s="14" t="str">
        <x:v>LIQUIDATION_GRACE_PERIOD_TIER_MULTIPLIER</x:v>
      </x:c>
      <x:c r="F3" s="14" t="str">
        <x:v>⁠0x8eeef43d987e2c0a3d6339604c0ab8bfa3c2af31603989bb4e1076f9d83345be</x:v>
      </x:c>
      <x:c r="G3" s="14" t="str">
        <x:v>raw</x:v>
      </x:c>
      <x:c r="H3" s="14" t="str"/>
      <x:c r="I3" s="14" t="str">
        <x:v>uint</x:v>
      </x:c>
      <x:c r="J3" s="14" t="str">
        <x:v>graceTier</x:v>
      </x:c>
      <x:c r="K3" s="16" t="str">
        <x:v>否</x:v>
      </x:c>
      <x:c r="L3" s="16" t="str">
        <x:v>否</x:v>
      </x:c>
      <x:c r="M3" s="14" t="str">
        <x:v>DataStore 直写(CONTROLLER)</x:v>
      </x:c>
      <x:c r="N3" s="14" t="str">
        <x:v>沿用/见变更表</x:v>
      </x:c>
      <x:c r="O3" s="14" t="str">
        <x:v>FX100Keys.sol / Config.sol / registry-v0.3.2.json</x:v>
      </x:c>
    </x:row>
    <x:row r="4">
      <x:c r="A4" s="16" t="n">
        <x:v>3</x:v>
      </x:c>
      <x:c r="B4" s="14" t="str">
        <x:v>常量</x:v>
      </x:c>
      <x:c r="C4" s="14" t="str">
        <x:v>EXECUTION_FEE_SUBSIDIZE</x:v>
      </x:c>
      <x:c r="D4" s="14" t="str">
        <x:v>EXECUTION_FEE_SUBSIDIZE</x:v>
      </x:c>
      <x:c r="E4" s="14" t="str">
        <x:v>EXECUTION_FEE_SUBSIDIZE</x:v>
      </x:c>
      <x:c r="F4" s="14" t="str">
        <x:v>⁠0x3171fa590fb72d3f72ca1ec568184ba2c4ffab697bd1c0cebdc99eab50bfde50</x:v>
      </x:c>
      <x:c r="G4" s="14" t="str">
        <x:v>raw</x:v>
      </x:c>
      <x:c r="H4" s="14" t="str"/>
      <x:c r="I4" s="14" t="str">
        <x:v>uint</x:v>
      </x:c>
      <x:c r="J4" s="14" t="str">
        <x:v>market</x:v>
      </x:c>
      <x:c r="K4" s="16" t="str">
        <x:v>否</x:v>
      </x:c>
      <x:c r="L4" s="16" t="str">
        <x:v>否</x:v>
      </x:c>
      <x:c r="M4" s="14" t="str">
        <x:v>DataStore 直写(CONTROLLER)</x:v>
      </x:c>
      <x:c r="N4" s="14" t="str">
        <x:v>沿用/见变更表</x:v>
      </x:c>
      <x:c r="O4" s="14" t="str">
        <x:v>FX100Keys.sol / Config.sol / registry-v0.3.2.json</x:v>
      </x:c>
    </x:row>
    <x:row r="5">
      <x:c r="A5" s="16" t="n">
        <x:v>4</x:v>
      </x:c>
      <x:c r="B5" s="14" t="str">
        <x:v>常量</x:v>
      </x:c>
      <x:c r="C5" s="14" t="str">
        <x:v>EXECUTION_FEE_SUBSIDIZE_SIZE</x:v>
      </x:c>
      <x:c r="D5" s="14" t="str">
        <x:v>EXECUTION_FEE_SUBSIDIZE_SIZE</x:v>
      </x:c>
      <x:c r="E5" s="14" t="str">
        <x:v>EXECUTION_FEE_SUBSIDIZE_SIZE</x:v>
      </x:c>
      <x:c r="F5" s="14" t="str">
        <x:v>⁠0x8e21a49554caf5318a5f6de65b0dae92a2e22495335e586c2b43a7e2e8323598</x:v>
      </x:c>
      <x:c r="G5" s="14" t="str">
        <x:v>raw</x:v>
      </x:c>
      <x:c r="H5" s="14" t="str"/>
      <x:c r="I5" s="14" t="str">
        <x:v>uint</x:v>
      </x:c>
      <x:c r="J5" s="14" t="str">
        <x:v>market</x:v>
      </x:c>
      <x:c r="K5" s="16" t="str">
        <x:v>否</x:v>
      </x:c>
      <x:c r="L5" s="16" t="str">
        <x:v>否</x:v>
      </x:c>
      <x:c r="M5" s="14" t="str">
        <x:v>DataStore 直写(CONTROLLER)</x:v>
      </x:c>
      <x:c r="N5" s="14" t="str">
        <x:v>沿用/见变更表</x:v>
      </x:c>
      <x:c r="O5" s="14" t="str">
        <x:v>FX100Keys.sol / Config.sol / registry-v0.3.2.json</x:v>
      </x:c>
    </x:row>
    <x:row r="6">
      <x:c r="A6" s="16" t="n">
        <x:v>5</x:v>
      </x:c>
      <x:c r="B6" s="14" t="str">
        <x:v>常量</x:v>
      </x:c>
      <x:c r="C6" s="14" t="str">
        <x:v>POSITION_IMPACT_FACTOR</x:v>
      </x:c>
      <x:c r="D6" s="14" t="str">
        <x:v>POSITION_IMPACT_FACTOR</x:v>
      </x:c>
      <x:c r="E6" s="14" t="str">
        <x:v>POSITION_IMPACT_FACTOR</x:v>
      </x:c>
      <x:c r="F6" s="14" t="str">
        <x:v>⁠0xdbe66c23ce3688bc34131316a8b4dd967631de35afb1dbb972bc1b7c71c4a18b</x:v>
      </x:c>
      <x:c r="G6" s="14" t="str">
        <x:v>abiEncode</x:v>
      </x:c>
      <x:c r="H6" s="14" t="str"/>
      <x:c r="I6" s="14" t="str"/>
      <x:c r="J6" s="14" t="str">
        <x:v>market + bool</x:v>
      </x:c>
      <x:c r="K6" s="16" t="str">
        <x:v>是</x:v>
      </x:c>
      <x:c r="L6" s="16" t="str">
        <x:v>否</x:v>
      </x:c>
      <x:c r="M6" s="14" t="str">
        <x:v>Config(CONFIG_KEEPER)</x:v>
      </x:c>
      <x:c r="N6" s="14" t="str">
        <x:v>沿用/见变更表</x:v>
      </x:c>
      <x:c r="O6" s="14" t="str">
        <x:v>FX100Keys.sol / Config.sol / registry-v0.3.2.json</x:v>
      </x:c>
    </x:row>
    <x:row r="7">
      <x:c r="A7" s="16" t="n">
        <x:v>6</x:v>
      </x:c>
      <x:c r="B7" s="14" t="str">
        <x:v>常量</x:v>
      </x:c>
      <x:c r="C7" s="14" t="str">
        <x:v>POSITION_IMPACT_EXPONENT_FACTOR</x:v>
      </x:c>
      <x:c r="D7" s="14" t="str">
        <x:v>POSITION_IMPACT_EXPONENT_FACTOR</x:v>
      </x:c>
      <x:c r="E7" s="14" t="str">
        <x:v>POSITION_IMPACT_EXPONENT_FACTOR</x:v>
      </x:c>
      <x:c r="F7" s="14" t="str">
        <x:v>⁠0xdd130ae153fcacdeb3063e386277de2d305638932d8de421f5c79f3919eea233</x:v>
      </x:c>
      <x:c r="G7" s="14" t="str">
        <x:v>abiEncode</x:v>
      </x:c>
      <x:c r="H7" s="14" t="str"/>
      <x:c r="I7" s="14" t="str"/>
      <x:c r="J7" s="14" t="str">
        <x:v>market + bool</x:v>
      </x:c>
      <x:c r="K7" s="16" t="str">
        <x:v>是</x:v>
      </x:c>
      <x:c r="L7" s="16" t="str">
        <x:v>否</x:v>
      </x:c>
      <x:c r="M7" s="14" t="str">
        <x:v>Config(CONFIG_KEEPER)</x:v>
      </x:c>
      <x:c r="N7" s="14" t="str">
        <x:v>沿用/见变更表</x:v>
      </x:c>
      <x:c r="O7" s="14" t="str">
        <x:v>FX100Keys.sol / Config.sol / registry-v0.3.2.json</x:v>
      </x:c>
    </x:row>
    <x:row r="8">
      <x:c r="A8" s="16" t="n">
        <x:v>7</x:v>
      </x:c>
      <x:c r="B8" s="14" t="str">
        <x:v>常量</x:v>
      </x:c>
      <x:c r="C8" s="14" t="str">
        <x:v>MAX_POSITION_IMPACT_FACTOR</x:v>
      </x:c>
      <x:c r="D8" s="14" t="str">
        <x:v>MAX_POSITION_IMPACT_FACTOR</x:v>
      </x:c>
      <x:c r="E8" s="14" t="str">
        <x:v>MAX_POSITION_IMPACT_FACTOR</x:v>
      </x:c>
      <x:c r="F8" s="14" t="str">
        <x:v>⁠0x13be955c1220ee542749f9621d477d34649523d4273ecf1b722d67b372cca75f</x:v>
      </x:c>
      <x:c r="G8" s="14" t="str">
        <x:v>abiEncode</x:v>
      </x:c>
      <x:c r="H8" s="14" t="str"/>
      <x:c r="I8" s="14" t="str">
        <x:v>uint</x:v>
      </x:c>
      <x:c r="J8" s="14" t="str">
        <x:v>market + bool</x:v>
      </x:c>
      <x:c r="K8" s="16" t="str">
        <x:v>是</x:v>
      </x:c>
      <x:c r="L8" s="16" t="str">
        <x:v>否</x:v>
      </x:c>
      <x:c r="M8" s="14" t="str">
        <x:v>Config(CONFIG_KEEPER)</x:v>
      </x:c>
      <x:c r="N8" s="14" t="str">
        <x:v>沿用/见变更表</x:v>
      </x:c>
      <x:c r="O8" s="14" t="str">
        <x:v>FX100Keys.sol / Config.sol / registry-v0.3.2.json</x:v>
      </x:c>
    </x:row>
    <x:row r="9">
      <x:c r="A9" s="16" t="n">
        <x:v>8</x:v>
      </x:c>
      <x:c r="B9" s="14" t="str">
        <x:v>常量</x:v>
      </x:c>
      <x:c r="C9" s="14" t="str">
        <x:v>MAX_POSITION_IMPACT_FACTOR_FOR_LIQUIDATIONS</x:v>
      </x:c>
      <x:c r="D9" s="14" t="str">
        <x:v>MAX_POSITION_IMPACT_FACTOR_FOR_LIQUIDATIONS</x:v>
      </x:c>
      <x:c r="E9" s="14" t="str">
        <x:v>MAX_POSITION_IMPACT_FACTOR_FOR_LIQUIDATIONS</x:v>
      </x:c>
      <x:c r="F9" s="14" t="str">
        <x:v>⁠0x60c6f7a6820f7b274465f97450f5ba86cedd20f28f1cd3690510968ab87a0f8c</x:v>
      </x:c>
      <x:c r="G9" s="14" t="str">
        <x:v>abiEncode</x:v>
      </x:c>
      <x:c r="H9" s="14" t="str"/>
      <x:c r="I9" s="14" t="str">
        <x:v>uint</x:v>
      </x:c>
      <x:c r="J9" s="14" t="str">
        <x:v>market</x:v>
      </x:c>
      <x:c r="K9" s="16" t="str">
        <x:v>是</x:v>
      </x:c>
      <x:c r="L9" s="16" t="str">
        <x:v>否</x:v>
      </x:c>
      <x:c r="M9" s="14" t="str">
        <x:v>Config(CONFIG_KEEPER)</x:v>
      </x:c>
      <x:c r="N9" s="14" t="str">
        <x:v>沿用/见变更表</x:v>
      </x:c>
      <x:c r="O9" s="14" t="str">
        <x:v>FX100Keys.sol / Config.sol / registry-v0.3.2.json</x:v>
      </x:c>
    </x:row>
    <x:row r="10">
      <x:c r="A10" s="16" t="n">
        <x:v>9</x:v>
      </x:c>
      <x:c r="B10" s="14" t="str">
        <x:v>常量</x:v>
      </x:c>
      <x:c r="C10" s="14" t="str">
        <x:v>POSITION_FEE_FACTOR</x:v>
      </x:c>
      <x:c r="D10" s="14" t="str">
        <x:v>POSITION_FEE_FACTOR</x:v>
      </x:c>
      <x:c r="E10" s="14" t="str">
        <x:v>POSITION_FEE_FACTOR</x:v>
      </x:c>
      <x:c r="F10" s="14" t="str">
        <x:v>⁠0x3999256650a6ebfea3dfbd4d56990f4d9048943a0e38ea6aabfc65122556c342</x:v>
      </x:c>
      <x:c r="G10" s="14" t="str">
        <x:v>abiEncode</x:v>
      </x:c>
      <x:c r="H10" s="14" t="str"/>
      <x:c r="I10" s="14" t="str">
        <x:v>uint</x:v>
      </x:c>
      <x:c r="J10" s="14" t="str">
        <x:v>market + bool</x:v>
      </x:c>
      <x:c r="K10" s="16" t="str">
        <x:v>是</x:v>
      </x:c>
      <x:c r="L10" s="16" t="str">
        <x:v>否</x:v>
      </x:c>
      <x:c r="M10" s="14" t="str">
        <x:v>Config(CONFIG_KEEPER)</x:v>
      </x:c>
      <x:c r="N10" s="14" t="str">
        <x:v>沿用/见变更表</x:v>
      </x:c>
      <x:c r="O10" s="14" t="str">
        <x:v>FX100Keys.sol / Config.sol / registry-v0.3.2.json</x:v>
      </x:c>
    </x:row>
    <x:row r="11">
      <x:c r="A11" s="16" t="n">
        <x:v>10</x:v>
      </x:c>
      <x:c r="B11" s="14" t="str">
        <x:v>常量</x:v>
      </x:c>
      <x:c r="C11" s="14" t="str">
        <x:v>CONSTANT_PRICE_SPREAD</x:v>
      </x:c>
      <x:c r="D11" s="14" t="str">
        <x:v>CONSTANT_PRICE_SPREAD</x:v>
      </x:c>
      <x:c r="E11" s="14" t="str">
        <x:v>CONSTANT_PRICE_SPREAD</x:v>
      </x:c>
      <x:c r="F11" s="14" t="str">
        <x:v>⁠0xb891481ec38a71ff33c4b447f343b55e59795716812a3f30cffb3b9449d691b8</x:v>
      </x:c>
      <x:c r="G11" s="14" t="str">
        <x:v>abiEncode</x:v>
      </x:c>
      <x:c r="H11" s="14" t="str"/>
      <x:c r="I11" s="14" t="str">
        <x:v>uint</x:v>
      </x:c>
      <x:c r="J11" s="14" t="str">
        <x:v>market</x:v>
      </x:c>
      <x:c r="K11" s="16" t="str">
        <x:v>否</x:v>
      </x:c>
      <x:c r="L11" s="16" t="str">
        <x:v>否</x:v>
      </x:c>
      <x:c r="M11" s="14" t="str">
        <x:v>DataStore 直写(CONTROLLER)</x:v>
      </x:c>
      <x:c r="N11" s="14" t="str">
        <x:v>沿用/见变更表</x:v>
      </x:c>
      <x:c r="O11" s="14" t="str">
        <x:v>FX100Keys.sol / Config.sol / registry-v0.3.2.json</x:v>
      </x:c>
    </x:row>
    <x:row r="12">
      <x:c r="A12" s="16" t="n">
        <x:v>11</x:v>
      </x:c>
      <x:c r="B12" s="14" t="str">
        <x:v>常量</x:v>
      </x:c>
      <x:c r="C12" s="14" t="str">
        <x:v>MIN_DYNAMIC_SPREAD</x:v>
      </x:c>
      <x:c r="D12" s="14" t="str">
        <x:v>MIN_DYNAMIC_SPREAD</x:v>
      </x:c>
      <x:c r="E12" s="14" t="str">
        <x:v>MIN_DYNAMIC_SPREAD</x:v>
      </x:c>
      <x:c r="F12" s="14" t="str">
        <x:v>⁠0x186cc03dad48d428234911fff177cf7599ed175ba3d937061d7b21ec34f6ed12</x:v>
      </x:c>
      <x:c r="G12" s="14" t="str">
        <x:v>abiEncode</x:v>
      </x:c>
      <x:c r="H12" s="14" t="str"/>
      <x:c r="I12" s="14" t="str">
        <x:v>int</x:v>
      </x:c>
      <x:c r="J12" s="14" t="str">
        <x:v>market + bool</x:v>
      </x:c>
      <x:c r="K12" s="16" t="str">
        <x:v>是</x:v>
      </x:c>
      <x:c r="L12" s="16" t="str">
        <x:v>否</x:v>
      </x:c>
      <x:c r="M12" s="14" t="str">
        <x:v>Config(CONFIG_KEEPER)</x:v>
      </x:c>
      <x:c r="N12" s="14" t="str">
        <x:v>v0.3.2 新增</x:v>
      </x:c>
      <x:c r="O12" s="14" t="str">
        <x:v>FX100Keys.sol / Config.sol / registry-v0.3.2.json</x:v>
      </x:c>
    </x:row>
    <x:row r="13">
      <x:c r="A13" s="16" t="n">
        <x:v>12</x:v>
      </x:c>
      <x:c r="B13" s="14" t="str">
        <x:v>常量</x:v>
      </x:c>
      <x:c r="C13" s="14" t="str">
        <x:v>MAX_DYNAMIC_SPREAD</x:v>
      </x:c>
      <x:c r="D13" s="14" t="str">
        <x:v>MAX_DYNAMIC_SPREAD</x:v>
      </x:c>
      <x:c r="E13" s="14" t="str">
        <x:v>MAX_DYNAMIC_SPREAD</x:v>
      </x:c>
      <x:c r="F13" s="14" t="str">
        <x:v>⁠0xbd54d189a026f600b96ae3918c0d228cc69f74d2ab6ff6086dce79c8acaaff50</x:v>
      </x:c>
      <x:c r="G13" s="14" t="str">
        <x:v>abiEncode</x:v>
      </x:c>
      <x:c r="H13" s="14" t="str"/>
      <x:c r="I13" s="14" t="str">
        <x:v>int</x:v>
      </x:c>
      <x:c r="J13" s="14" t="str">
        <x:v>market + bool</x:v>
      </x:c>
      <x:c r="K13" s="16" t="str">
        <x:v>是</x:v>
      </x:c>
      <x:c r="L13" s="16" t="str">
        <x:v>否</x:v>
      </x:c>
      <x:c r="M13" s="14" t="str">
        <x:v>Config(CONFIG_KEEPER)</x:v>
      </x:c>
      <x:c r="N13" s="14" t="str">
        <x:v>v0.3.2 新增</x:v>
      </x:c>
      <x:c r="O13" s="14" t="str">
        <x:v>FX100Keys.sol / Config.sol / registry-v0.3.2.json</x:v>
      </x:c>
    </x:row>
    <x:row r="14">
      <x:c r="A14" s="16" t="n">
        <x:v>13</x:v>
      </x:c>
      <x:c r="B14" s="14" t="str">
        <x:v>常量</x:v>
      </x:c>
      <x:c r="C14" s="14" t="str">
        <x:v>BID_ORDER_BOOK_DEPTH</x:v>
      </x:c>
      <x:c r="D14" s="14" t="str">
        <x:v>BID_ORDER_BOOK_DEPTH</x:v>
      </x:c>
      <x:c r="E14" s="14" t="str">
        <x:v>BID_ORDER_BOOK_DEPTH</x:v>
      </x:c>
      <x:c r="F14" s="14" t="str">
        <x:v>⁠0xe797e0573a3d66485e56b355cdae059ddadeec7cb32019e542dc6102726ac068</x:v>
      </x:c>
      <x:c r="G14" s="14" t="str">
        <x:v>abiEncode</x:v>
      </x:c>
      <x:c r="H14" s="14" t="str"/>
      <x:c r="I14" s="14" t="str">
        <x:v>uint</x:v>
      </x:c>
      <x:c r="J14" s="14" t="str">
        <x:v>market</x:v>
      </x:c>
      <x:c r="K14" s="16" t="str">
        <x:v>否</x:v>
      </x:c>
      <x:c r="L14" s="16" t="str">
        <x:v>否</x:v>
      </x:c>
      <x:c r="M14" s="14" t="str">
        <x:v>DataStore 直写(CONTROLLER)</x:v>
      </x:c>
      <x:c r="N14" s="14" t="str">
        <x:v>沿用/见变更表</x:v>
      </x:c>
      <x:c r="O14" s="14" t="str">
        <x:v>FX100Keys.sol / Config.sol / registry-v0.3.2.json</x:v>
      </x:c>
    </x:row>
    <x:row r="15">
      <x:c r="A15" s="16" t="n">
        <x:v>14</x:v>
      </x:c>
      <x:c r="B15" s="14" t="str">
        <x:v>常量</x:v>
      </x:c>
      <x:c r="C15" s="14" t="str">
        <x:v>ASK_ORDER_BOOK_DEPTH</x:v>
      </x:c>
      <x:c r="D15" s="14" t="str">
        <x:v>ASK_ORDER_BOOK_DEPTH</x:v>
      </x:c>
      <x:c r="E15" s="14" t="str">
        <x:v>ASK_ORDER_BOOK_DEPTH</x:v>
      </x:c>
      <x:c r="F15" s="14" t="str">
        <x:v>⁠0x8a16e1f9f04d94b6f2171f038bba2b206f3b23dd46c0038e01b303b62364474f</x:v>
      </x:c>
      <x:c r="G15" s="14" t="str">
        <x:v>abiEncode</x:v>
      </x:c>
      <x:c r="H15" s="14" t="str"/>
      <x:c r="I15" s="14" t="str">
        <x:v>uint</x:v>
      </x:c>
      <x:c r="J15" s="14" t="str">
        <x:v>market</x:v>
      </x:c>
      <x:c r="K15" s="16" t="str">
        <x:v>否</x:v>
      </x:c>
      <x:c r="L15" s="16" t="str">
        <x:v>否</x:v>
      </x:c>
      <x:c r="M15" s="14" t="str">
        <x:v>DataStore 直写(CONTROLLER)</x:v>
      </x:c>
      <x:c r="N15" s="14" t="str">
        <x:v>沿用/见变更表</x:v>
      </x:c>
      <x:c r="O15" s="14" t="str">
        <x:v>FX100Keys.sol / Config.sol / registry-v0.3.2.json</x:v>
      </x:c>
    </x:row>
    <x:row r="16">
      <x:c r="A16" s="16" t="n">
        <x:v>15</x:v>
      </x:c>
      <x:c r="B16" s="14" t="str">
        <x:v>常量</x:v>
      </x:c>
      <x:c r="C16" s="14" t="str">
        <x:v>PRICE_IMPACT_PARAMETER</x:v>
      </x:c>
      <x:c r="D16" s="14" t="str">
        <x:v>PRICE_IMPACT_PARAMETER</x:v>
      </x:c>
      <x:c r="E16" s="14" t="str">
        <x:v>PRICE_IMPACT_PARAMETER</x:v>
      </x:c>
      <x:c r="F16" s="14" t="str">
        <x:v>⁠0x594ded69621c84e89e21492caaeff91fc199dabd34e88715c87cad879f876ab3</x:v>
      </x:c>
      <x:c r="G16" s="14" t="str">
        <x:v>abiEncode</x:v>
      </x:c>
      <x:c r="H16" s="14" t="str"/>
      <x:c r="I16" s="14" t="str">
        <x:v>uint</x:v>
      </x:c>
      <x:c r="J16" s="14" t="str">
        <x:v>market</x:v>
      </x:c>
      <x:c r="K16" s="16" t="str">
        <x:v>否</x:v>
      </x:c>
      <x:c r="L16" s="16" t="str">
        <x:v>否</x:v>
      </x:c>
      <x:c r="M16" s="14" t="str">
        <x:v>DataStore 直写(CONTROLLER)</x:v>
      </x:c>
      <x:c r="N16" s="14" t="str">
        <x:v>沿用/见变更表</x:v>
      </x:c>
      <x:c r="O16" s="14" t="str">
        <x:v>FX100Keys.sol / Config.sol / registry-v0.3.2.json</x:v>
      </x:c>
    </x:row>
    <x:row r="17">
      <x:c r="A17" s="16" t="n">
        <x:v>16</x:v>
      </x:c>
      <x:c r="B17" s="14" t="str">
        <x:v>常量</x:v>
      </x:c>
      <x:c r="C17" s="14" t="str">
        <x:v>MAX_PRICE_IMPACT_SPREAD</x:v>
      </x:c>
      <x:c r="D17" s="14" t="str">
        <x:v>MAX_PRICE_IMPACT_SPREAD</x:v>
      </x:c>
      <x:c r="E17" s="14" t="str">
        <x:v>MAX_PRICE_IMPACT_SPREAD</x:v>
      </x:c>
      <x:c r="F17" s="14" t="str">
        <x:v>⁠0x9f71064f4d31ede08ea2e305fbbe1b3f4c903416fe7defe9f2b7ebdbb257c70f</x:v>
      </x:c>
      <x:c r="G17" s="14" t="str">
        <x:v>abiEncode</x:v>
      </x:c>
      <x:c r="H17" s="14" t="str"/>
      <x:c r="I17" s="14" t="str">
        <x:v>uint</x:v>
      </x:c>
      <x:c r="J17" s="14" t="str">
        <x:v>global/raw</x:v>
      </x:c>
      <x:c r="K17" s="16" t="str">
        <x:v>否</x:v>
      </x:c>
      <x:c r="L17" s="16" t="str">
        <x:v>否</x:v>
      </x:c>
      <x:c r="M17" s="14" t="str">
        <x:v>DataStore 直写(CONTROLLER)</x:v>
      </x:c>
      <x:c r="N17" s="14" t="str">
        <x:v>沿用/见变更表</x:v>
      </x:c>
      <x:c r="O17" s="14" t="str">
        <x:v>FX100Keys.sol / Config.sol / registry-v0.3.2.json</x:v>
      </x:c>
    </x:row>
    <x:row r="18">
      <x:c r="A18" s="16" t="n">
        <x:v>17</x:v>
      </x:c>
      <x:c r="B18" s="14" t="str">
        <x:v>常量</x:v>
      </x:c>
      <x:c r="C18" s="14" t="str">
        <x:v>SKEW_IMPACT_FACTOR</x:v>
      </x:c>
      <x:c r="D18" s="14" t="str">
        <x:v>SKEW_IMPACT_FACTOR</x:v>
      </x:c>
      <x:c r="E18" s="14" t="str">
        <x:v>SKEW_IMPACT_FACTOR</x:v>
      </x:c>
      <x:c r="F18" s="14" t="str">
        <x:v>⁠0xe0147bcd641545faad2aa55373814f25807deecafb5f79b418763101637d41db</x:v>
      </x:c>
      <x:c r="G18" s="14" t="str">
        <x:v>abiEncode</x:v>
      </x:c>
      <x:c r="H18" s="14" t="str"/>
      <x:c r="I18" s="14" t="str">
        <x:v>int</x:v>
      </x:c>
      <x:c r="J18" s="14" t="str">
        <x:v>market</x:v>
      </x:c>
      <x:c r="K18" s="16" t="str">
        <x:v>是</x:v>
      </x:c>
      <x:c r="L18" s="16" t="str">
        <x:v>否</x:v>
      </x:c>
      <x:c r="M18" s="14" t="str">
        <x:v>Config(CONFIG_KEEPER)</x:v>
      </x:c>
      <x:c r="N18" s="14" t="str">
        <x:v>沿用/见变更表</x:v>
      </x:c>
      <x:c r="O18" s="14" t="str">
        <x:v>FX100Keys.sol / Config.sol / registry-v0.3.2.json</x:v>
      </x:c>
    </x:row>
    <x:row r="19">
      <x:c r="A19" s="16" t="n">
        <x:v>18</x:v>
      </x:c>
      <x:c r="B19" s="14" t="str">
        <x:v>常量</x:v>
      </x:c>
      <x:c r="C19" s="14" t="str">
        <x:v>MIN_SKEW_IMPACT</x:v>
      </x:c>
      <x:c r="D19" s="14" t="str">
        <x:v>MIN_SKEW_IMPACT</x:v>
      </x:c>
      <x:c r="E19" s="14" t="str">
        <x:v>MIN_SKEW_IMPACT</x:v>
      </x:c>
      <x:c r="F19" s="14" t="str">
        <x:v>⁠0xdc2d0656570c091fb0abc227cd1c64906d3025dd2c0ded0216e4b9f3b112fd22</x:v>
      </x:c>
      <x:c r="G19" s="14" t="str">
        <x:v>abiEncode</x:v>
      </x:c>
      <x:c r="H19" s="14" t="str"/>
      <x:c r="I19" s="14" t="str">
        <x:v>int</x:v>
      </x:c>
      <x:c r="J19" s="14" t="str">
        <x:v>market</x:v>
      </x:c>
      <x:c r="K19" s="16" t="str">
        <x:v>是</x:v>
      </x:c>
      <x:c r="L19" s="16" t="str">
        <x:v>否</x:v>
      </x:c>
      <x:c r="M19" s="14" t="str">
        <x:v>Config(CONFIG_KEEPER)</x:v>
      </x:c>
      <x:c r="N19" s="14" t="str">
        <x:v>沿用/见变更表</x:v>
      </x:c>
      <x:c r="O19" s="14" t="str">
        <x:v>FX100Keys.sol / Config.sol / registry-v0.3.2.json</x:v>
      </x:c>
    </x:row>
    <x:row r="20">
      <x:c r="A20" s="16" t="n">
        <x:v>19</x:v>
      </x:c>
      <x:c r="B20" s="14" t="str">
        <x:v>常量</x:v>
      </x:c>
      <x:c r="C20" s="14" t="str">
        <x:v>MAX_SKEW_IMPACT</x:v>
      </x:c>
      <x:c r="D20" s="14" t="str">
        <x:v>MAX_SKEW_IMPACT</x:v>
      </x:c>
      <x:c r="E20" s="14" t="str">
        <x:v>MAX_SKEW_IMPACT</x:v>
      </x:c>
      <x:c r="F20" s="14" t="str">
        <x:v>⁠0xba7ee5185658a2fa6fcff864bf6699b6f36e70169500a68dcb185b0090c741eb</x:v>
      </x:c>
      <x:c r="G20" s="14" t="str">
        <x:v>abiEncode</x:v>
      </x:c>
      <x:c r="H20" s="14" t="str"/>
      <x:c r="I20" s="14" t="str">
        <x:v>int</x:v>
      </x:c>
      <x:c r="J20" s="14" t="str">
        <x:v>market</x:v>
      </x:c>
      <x:c r="K20" s="16" t="str">
        <x:v>是</x:v>
      </x:c>
      <x:c r="L20" s="16" t="str">
        <x:v>否</x:v>
      </x:c>
      <x:c r="M20" s="14" t="str">
        <x:v>Config(CONFIG_KEEPER)</x:v>
      </x:c>
      <x:c r="N20" s="14" t="str">
        <x:v>沿用/见变更表</x:v>
      </x:c>
      <x:c r="O20" s="14" t="str">
        <x:v>FX100Keys.sol / Config.sol / registry-v0.3.2.json</x:v>
      </x:c>
    </x:row>
    <x:row r="21">
      <x:c r="A21" s="16" t="n">
        <x:v>20</x:v>
      </x:c>
      <x:c r="B21" s="14" t="str">
        <x:v>常量</x:v>
      </x:c>
      <x:c r="C21" s="14" t="str">
        <x:v>MARKET_LIST</x:v>
      </x:c>
      <x:c r="D21" s="14" t="str">
        <x:v>MARKET_LIST</x:v>
      </x:c>
      <x:c r="E21" s="14" t="str">
        <x:v>MARKET_LIST</x:v>
      </x:c>
      <x:c r="F21" s="14" t="str">
        <x:v>⁠0xcdac201abd09598973b1365dbbaeb65ff0f370d30bb5c7440dc3341f570b2e38</x:v>
      </x:c>
      <x:c r="G21" s="14" t="str">
        <x:v>abiEncode</x:v>
      </x:c>
      <x:c r="H21" s="14" t="str"/>
      <x:c r="I21" s="14" t="str">
        <x:v>uint</x:v>
      </x:c>
      <x:c r="J21" s="14" t="str">
        <x:v>global/raw</x:v>
      </x:c>
      <x:c r="K21" s="16" t="str">
        <x:v>否</x:v>
      </x:c>
      <x:c r="L21" s="16" t="str">
        <x:v>否</x:v>
      </x:c>
      <x:c r="M21" s="14" t="str">
        <x:v>DataStore 直写(CONTROLLER)</x:v>
      </x:c>
      <x:c r="N21" s="14" t="str">
        <x:v>沿用/见变更表</x:v>
      </x:c>
      <x:c r="O21" s="14" t="str">
        <x:v>FX100Keys.sol / Config.sol / registry-v0.3.2.json</x:v>
      </x:c>
    </x:row>
    <x:row r="22">
      <x:c r="A22" s="16" t="n">
        <x:v>21</x:v>
      </x:c>
      <x:c r="B22" s="14" t="str">
        <x:v>常量</x:v>
      </x:c>
      <x:c r="C22" s="14" t="str">
        <x:v>COLLATERAL_TOKEN</x:v>
      </x:c>
      <x:c r="D22" s="14" t="str">
        <x:v>COLLATERAL_TOKEN</x:v>
      </x:c>
      <x:c r="E22" s="14" t="str">
        <x:v>COLLATERAL_TOKEN</x:v>
      </x:c>
      <x:c r="F22" s="14" t="str">
        <x:v>⁠0xd890cedaab800f07f6432ac38d67dd1adbee92bfb56f145ca33f99455f6398b4</x:v>
      </x:c>
      <x:c r="G22" s="14" t="str">
        <x:v>abiEncode</x:v>
      </x:c>
      <x:c r="H22" s="14" t="str"/>
      <x:c r="I22" s="14" t="str">
        <x:v>address</x:v>
      </x:c>
      <x:c r="J22" s="14" t="str">
        <x:v>global/raw</x:v>
      </x:c>
      <x:c r="K22" s="16" t="str">
        <x:v>否</x:v>
      </x:c>
      <x:c r="L22" s="16" t="str">
        <x:v>否</x:v>
      </x:c>
      <x:c r="M22" s="14" t="str">
        <x:v>DataStore 直写(CONTROLLER)</x:v>
      </x:c>
      <x:c r="N22" s="14" t="str">
        <x:v>v0.3.2 改为全局</x:v>
      </x:c>
      <x:c r="O22" s="14" t="str">
        <x:v>FX100Keys.sol / Config.sol / registry-v0.3.2.json</x:v>
      </x:c>
    </x:row>
    <x:row r="23">
      <x:c r="A23" s="16" t="n">
        <x:v>22</x:v>
      </x:c>
      <x:c r="B23" s="14" t="str">
        <x:v>常量</x:v>
      </x:c>
      <x:c r="C23" s="14" t="str">
        <x:v>CUMULATIVE_OPEN_COSTS</x:v>
      </x:c>
      <x:c r="D23" s="14" t="str">
        <x:v>CUMULATIVE_OPEN_COSTS</x:v>
      </x:c>
      <x:c r="E23" s="14" t="str">
        <x:v>CUMULATIVE_OPEN_COSTS</x:v>
      </x:c>
      <x:c r="F23" s="14" t="str">
        <x:v>⁠0x7a715a0233745957547f8418579f252028a3ed553a398842673bd138587e05eb</x:v>
      </x:c>
      <x:c r="G23" s="14" t="str">
        <x:v>abiEncode</x:v>
      </x:c>
      <x:c r="H23" s="14" t="str"/>
      <x:c r="I23" s="14" t="str">
        <x:v>uint</x:v>
      </x:c>
      <x:c r="J23" s="14" t="str">
        <x:v>market + bool</x:v>
      </x:c>
      <x:c r="K23" s="16" t="str">
        <x:v>否</x:v>
      </x:c>
      <x:c r="L23" s="16" t="str">
        <x:v>否</x:v>
      </x:c>
      <x:c r="M23" s="14" t="str">
        <x:v>DataStore 直写(CONTROLLER)</x:v>
      </x:c>
      <x:c r="N23" s="14" t="str">
        <x:v>沿用/见变更表</x:v>
      </x:c>
      <x:c r="O23" s="14" t="str">
        <x:v>FX100Keys.sol / Config.sol / registry-v0.3.2.json</x:v>
      </x:c>
    </x:row>
    <x:row r="24">
      <x:c r="A24" s="16" t="n">
        <x:v>23</x:v>
      </x:c>
      <x:c r="B24" s="14" t="str">
        <x:v>常量</x:v>
      </x:c>
      <x:c r="C24" s="14" t="str">
        <x:v>OPEN_INTEREST_IN_TOKENS</x:v>
      </x:c>
      <x:c r="D24" s="14" t="str">
        <x:v>OPEN_INTEREST_IN_TOKENS</x:v>
      </x:c>
      <x:c r="E24" s="14" t="str">
        <x:v>OPEN_INTEREST_IN_TOKENS</x:v>
      </x:c>
      <x:c r="F24" s="14" t="str">
        <x:v>⁠0xc577a5cb08b8e2126f9b9796b8c85ef9d1b5047a5ff670fc18802878f0bfd2f8</x:v>
      </x:c>
      <x:c r="G24" s="14" t="str">
        <x:v>abiEncode</x:v>
      </x:c>
      <x:c r="H24" s="14" t="str"/>
      <x:c r="I24" s="14" t="str">
        <x:v>uint</x:v>
      </x:c>
      <x:c r="J24" s="14" t="str">
        <x:v>market + bool</x:v>
      </x:c>
      <x:c r="K24" s="16" t="str">
        <x:v>否</x:v>
      </x:c>
      <x:c r="L24" s="16" t="str">
        <x:v>否</x:v>
      </x:c>
      <x:c r="M24" s="14" t="str">
        <x:v>DataStore 直写(CONTROLLER)</x:v>
      </x:c>
      <x:c r="N24" s="14" t="str">
        <x:v>沿用/见变更表</x:v>
      </x:c>
      <x:c r="O24" s="14" t="str">
        <x:v>FX100Keys.sol / Config.sol / registry-v0.3.2.json</x:v>
      </x:c>
    </x:row>
    <x:row r="25">
      <x:c r="A25" s="16" t="n">
        <x:v>24</x:v>
      </x:c>
      <x:c r="B25" s="14" t="str">
        <x:v>常量</x:v>
      </x:c>
      <x:c r="C25" s="14" t="str">
        <x:v>COLLATERAL_SUM</x:v>
      </x:c>
      <x:c r="D25" s="14" t="str">
        <x:v>COLLATERAL_SUM</x:v>
      </x:c>
      <x:c r="E25" s="14" t="str">
        <x:v>COLLATERAL_SUM</x:v>
      </x:c>
      <x:c r="F25" s="14" t="str">
        <x:v>⁠0xe27f5ccaade489de12c2ef69d7b8ed7fd42971f096ed75f305c7f990952b8a87</x:v>
      </x:c>
      <x:c r="G25" s="14" t="str">
        <x:v>abiEncode</x:v>
      </x:c>
      <x:c r="H25" s="14" t="str"/>
      <x:c r="I25" s="14" t="str"/>
      <x:c r="J25" s="14" t="str">
        <x:v>global/raw</x:v>
      </x:c>
      <x:c r="K25" s="16" t="str">
        <x:v>否</x:v>
      </x:c>
      <x:c r="L25" s="16" t="str">
        <x:v>否</x:v>
      </x:c>
      <x:c r="M25" s="14" t="str">
        <x:v>DataStore 直写(CONTROLLER)</x:v>
      </x:c>
      <x:c r="N25" s="14" t="str">
        <x:v>沿用/见变更表</x:v>
      </x:c>
      <x:c r="O25" s="14" t="str">
        <x:v>FX100Keys.sol / Config.sol / registry-v0.3.2.json</x:v>
      </x:c>
    </x:row>
    <x:row r="26">
      <x:c r="A26" s="16" t="n">
        <x:v>25</x:v>
      </x:c>
      <x:c r="B26" s="14" t="str">
        <x:v>常量</x:v>
      </x:c>
      <x:c r="C26" s="14" t="str">
        <x:v>MAX_COLLATERAL_SUM</x:v>
      </x:c>
      <x:c r="D26" s="14" t="str">
        <x:v>MAX_COLLATERAL_SUM</x:v>
      </x:c>
      <x:c r="E26" s="14" t="str">
        <x:v>MAX_COLLATERAL_SUM</x:v>
      </x:c>
      <x:c r="F26" s="14" t="str">
        <x:v>⁠0x60cc22b6a728415d844c73108a5ce8816dc5c111b1a12c2d4a78e528f59bf887</x:v>
      </x:c>
      <x:c r="G26" s="14" t="str">
        <x:v>abiEncode</x:v>
      </x:c>
      <x:c r="H26" s="14" t="str"/>
      <x:c r="I26" s="14" t="str"/>
      <x:c r="J26" s="14" t="str">
        <x:v>global/raw</x:v>
      </x:c>
      <x:c r="K26" s="16" t="str">
        <x:v>是</x:v>
      </x:c>
      <x:c r="L26" s="16" t="str">
        <x:v>否</x:v>
      </x:c>
      <x:c r="M26" s="14" t="str">
        <x:v>Config(CONFIG_KEEPER)</x:v>
      </x:c>
      <x:c r="N26" s="14" t="str">
        <x:v>沿用/见变更表</x:v>
      </x:c>
      <x:c r="O26" s="14" t="str">
        <x:v>FX100Keys.sol / Config.sol / registry-v0.3.2.json</x:v>
      </x:c>
    </x:row>
    <x:row r="27">
      <x:c r="A27" s="16" t="n">
        <x:v>26</x:v>
      </x:c>
      <x:c r="B27" s="14" t="str">
        <x:v>常量</x:v>
      </x:c>
      <x:c r="C27" s="14" t="str">
        <x:v>POOL_AMOUNT</x:v>
      </x:c>
      <x:c r="D27" s="14" t="str">
        <x:v>POOL_AMOUNT</x:v>
      </x:c>
      <x:c r="E27" s="14" t="str">
        <x:v>POOL_AMOUNT</x:v>
      </x:c>
      <x:c r="F27" s="14" t="str">
        <x:v>⁠0x8d6d2afbc2bb1e17cb89b72f19b266a410f6ee8f890812b98b609d4bbf135960</x:v>
      </x:c>
      <x:c r="G27" s="14" t="str">
        <x:v>abiEncode</x:v>
      </x:c>
      <x:c r="H27" s="14" t="str"/>
      <x:c r="I27" s="14" t="str"/>
      <x:c r="J27" s="14" t="str">
        <x:v>market + token</x:v>
      </x:c>
      <x:c r="K27" s="16" t="str">
        <x:v>否</x:v>
      </x:c>
      <x:c r="L27" s="16" t="str">
        <x:v>否</x:v>
      </x:c>
      <x:c r="M27" s="14" t="str">
        <x:v>DataStore 直写(CONTROLLER)</x:v>
      </x:c>
      <x:c r="N27" s="14" t="str">
        <x:v>沿用/见变更表</x:v>
      </x:c>
      <x:c r="O27" s="14" t="str">
        <x:v>FX100Keys.sol / Config.sol / registry-v0.3.2.json</x:v>
      </x:c>
    </x:row>
    <x:row r="28">
      <x:c r="A28" s="16" t="n">
        <x:v>27</x:v>
      </x:c>
      <x:c r="B28" s="14" t="str">
        <x:v>常量</x:v>
      </x:c>
      <x:c r="C28" s="14" t="str">
        <x:v>MAX_POOL_AMOUNT</x:v>
      </x:c>
      <x:c r="D28" s="14" t="str">
        <x:v>MAX_POOL_AMOUNT</x:v>
      </x:c>
      <x:c r="E28" s="14" t="str">
        <x:v>MAX_POOL_AMOUNT</x:v>
      </x:c>
      <x:c r="F28" s="14" t="str">
        <x:v>⁠0xe88b5773e3873a6265fa6e9e8dc016218fbded41751726542157f40b640a2083</x:v>
      </x:c>
      <x:c r="G28" s="14" t="str">
        <x:v>abiEncode</x:v>
      </x:c>
      <x:c r="H28" s="14" t="str"/>
      <x:c r="I28" s="14" t="str"/>
      <x:c r="J28" s="14" t="str">
        <x:v>market + token</x:v>
      </x:c>
      <x:c r="K28" s="16" t="str">
        <x:v>是</x:v>
      </x:c>
      <x:c r="L28" s="16" t="str">
        <x:v>是</x:v>
      </x:c>
      <x:c r="M28" s="14" t="str">
        <x:v>Config(CONFIG_KEEPER) / Config(LIMITED_CONFIG_KEEPER)</x:v>
      </x:c>
      <x:c r="N28" s="14" t="str">
        <x:v>沿用/见变更表</x:v>
      </x:c>
      <x:c r="O28" s="14" t="str">
        <x:v>FX100Keys.sol / Config.sol / registry-v0.3.2.json</x:v>
      </x:c>
    </x:row>
    <x:row r="29">
      <x:c r="A29" s="16" t="n">
        <x:v>28</x:v>
      </x:c>
      <x:c r="B29" s="14" t="str">
        <x:v>常量</x:v>
      </x:c>
      <x:c r="C29" s="14" t="str">
        <x:v>MAX_POOL_USD_FOR_DEPOSIT</x:v>
      </x:c>
      <x:c r="D29" s="14" t="str">
        <x:v>MAX_POOL_USD_FOR_DEPOSIT</x:v>
      </x:c>
      <x:c r="E29" s="14" t="str">
        <x:v>MAX_POOL_USD_FOR_DEPOSIT</x:v>
      </x:c>
      <x:c r="F29" s="14" t="str">
        <x:v>⁠0x2db5d586da17dbbdf405b386a76cc03dc4e25079c306e3af459ce5f7241f90b3</x:v>
      </x:c>
      <x:c r="G29" s="14" t="str">
        <x:v>abiEncode</x:v>
      </x:c>
      <x:c r="H29" s="14" t="str"/>
      <x:c r="I29" s="14" t="str"/>
      <x:c r="J29" s="14" t="str">
        <x:v>market + token</x:v>
      </x:c>
      <x:c r="K29" s="16" t="str">
        <x:v>是</x:v>
      </x:c>
      <x:c r="L29" s="16" t="str">
        <x:v>是</x:v>
      </x:c>
      <x:c r="M29" s="14" t="str">
        <x:v>Config(CONFIG_KEEPER) / Config(LIMITED_CONFIG_KEEPER)</x:v>
      </x:c>
      <x:c r="N29" s="14" t="str">
        <x:v>沿用/见变更表</x:v>
      </x:c>
      <x:c r="O29" s="14" t="str">
        <x:v>FX100Keys.sol / Config.sol / registry-v0.3.2.json</x:v>
      </x:c>
    </x:row>
    <x:row r="30">
      <x:c r="A30" s="16" t="n">
        <x:v>29</x:v>
      </x:c>
      <x:c r="B30" s="14" t="str">
        <x:v>常量</x:v>
      </x:c>
      <x:c r="C30" s="14" t="str">
        <x:v>MAX_OPEN_INTEREST</x:v>
      </x:c>
      <x:c r="D30" s="14" t="str">
        <x:v>MAX_OPEN_INTEREST</x:v>
      </x:c>
      <x:c r="E30" s="14" t="str">
        <x:v>MAX_OPEN_INTEREST</x:v>
      </x:c>
      <x:c r="F30" s="14" t="str">
        <x:v>⁠0x00468cb3aa9036ff00a31f90887485d87e1ee0299e9c1e1a838fe5110c4fbafb</x:v>
      </x:c>
      <x:c r="G30" s="14" t="str">
        <x:v>abiEncode</x:v>
      </x:c>
      <x:c r="H30" s="14" t="str"/>
      <x:c r="I30" s="14" t="str">
        <x:v>uint</x:v>
      </x:c>
      <x:c r="J30" s="14" t="str">
        <x:v>market + bool</x:v>
      </x:c>
      <x:c r="K30" s="16" t="str">
        <x:v>是</x:v>
      </x:c>
      <x:c r="L30" s="16" t="str">
        <x:v>是</x:v>
      </x:c>
      <x:c r="M30" s="14" t="str">
        <x:v>Config(CONFIG_KEEPER) / Config(LIMITED_CONFIG_KEEPER)</x:v>
      </x:c>
      <x:c r="N30" s="14" t="str">
        <x:v>沿用/见变更表</x:v>
      </x:c>
      <x:c r="O30" s="14" t="str">
        <x:v>FX100Keys.sol / Config.sol / registry-v0.3.2.json</x:v>
      </x:c>
    </x:row>
    <x:row r="31">
      <x:c r="A31" s="16" t="n">
        <x:v>30</x:v>
      </x:c>
      <x:c r="B31" s="14" t="str">
        <x:v>常量</x:v>
      </x:c>
      <x:c r="C31" s="14" t="str">
        <x:v>MAX_OPEN_INTEREST_FACTOR</x:v>
      </x:c>
      <x:c r="D31" s="14" t="str">
        <x:v>MAX_OPEN_INTEREST_FACTOR</x:v>
      </x:c>
      <x:c r="E31" s="14" t="str">
        <x:v>MAX_OPEN_INTEREST_FACTOR</x:v>
      </x:c>
      <x:c r="F31" s="14" t="str">
        <x:v>⁠0x36664f7e5bb11187e0891a9f726f65c38d3f4bc63534d49c4da57861b063dab7</x:v>
      </x:c>
      <x:c r="G31" s="14" t="str">
        <x:v>abiEncode</x:v>
      </x:c>
      <x:c r="H31" s="14" t="str"/>
      <x:c r="I31" s="14" t="str">
        <x:v>uint</x:v>
      </x:c>
      <x:c r="J31" s="14" t="str">
        <x:v>market + bool</x:v>
      </x:c>
      <x:c r="K31" s="16" t="str">
        <x:v>否</x:v>
      </x:c>
      <x:c r="L31" s="16" t="str">
        <x:v>否</x:v>
      </x:c>
      <x:c r="M31" s="14" t="str">
        <x:v>DataStore 直写(CONTROLLER)</x:v>
      </x:c>
      <x:c r="N31" s="14" t="str">
        <x:v>沿用/见变更表</x:v>
      </x:c>
      <x:c r="O31" s="14" t="str">
        <x:v>FX100Keys.sol / Config.sol / registry-v0.3.2.json</x:v>
      </x:c>
    </x:row>
    <x:row r="32">
      <x:c r="A32" s="16" t="n">
        <x:v>31</x:v>
      </x:c>
      <x:c r="B32" s="14" t="str">
        <x:v>常量</x:v>
      </x:c>
      <x:c r="C32" s="14" t="str">
        <x:v>POSITION_IMPACT_POOL_AMOUNT</x:v>
      </x:c>
      <x:c r="D32" s="14" t="str">
        <x:v>POSITION_IMPACT_POOL_AMOUNT</x:v>
      </x:c>
      <x:c r="E32" s="14" t="str">
        <x:v>POSITION_IMPACT_POOL_AMOUNT</x:v>
      </x:c>
      <x:c r="F32" s="14" t="str">
        <x:v>⁠0x8d05e344d016decb2483e1a2db6dfebdef3f67c47ac787f0ac505b4d45d3e16c</x:v>
      </x:c>
      <x:c r="G32" s="14" t="str">
        <x:v>abiEncode</x:v>
      </x:c>
      <x:c r="H32" s="14" t="str"/>
      <x:c r="I32" s="14" t="str"/>
      <x:c r="J32" s="14" t="str">
        <x:v>market</x:v>
      </x:c>
      <x:c r="K32" s="16" t="str">
        <x:v>否</x:v>
      </x:c>
      <x:c r="L32" s="16" t="str">
        <x:v>否</x:v>
      </x:c>
      <x:c r="M32" s="14" t="str">
        <x:v>DataStore 直写(CONTROLLER)</x:v>
      </x:c>
      <x:c r="N32" s="14" t="str">
        <x:v>沿用/见变更表</x:v>
      </x:c>
      <x:c r="O32" s="14" t="str">
        <x:v>FX100Keys.sol / Config.sol / registry-v0.3.2.json</x:v>
      </x:c>
    </x:row>
    <x:row r="33">
      <x:c r="A33" s="16" t="n">
        <x:v>32</x:v>
      </x:c>
      <x:c r="B33" s="14" t="str">
        <x:v>常量</x:v>
      </x:c>
      <x:c r="C33" s="14" t="str">
        <x:v>LENT_POSITION_IMPACT_POOL_AMOUNT</x:v>
      </x:c>
      <x:c r="D33" s="14" t="str">
        <x:v>LENT_POSITION_IMPACT_POOL_AMOUNT</x:v>
      </x:c>
      <x:c r="E33" s="14" t="str">
        <x:v>LENT_POSITION_IMPACT_POOL_AMOUNT</x:v>
      </x:c>
      <x:c r="F33" s="14" t="str">
        <x:v>⁠0x3dda68c1c3af43a8e512252c926c15763f903cc0ada8ecc4e69ef42c0471db92</x:v>
      </x:c>
      <x:c r="G33" s="14" t="str">
        <x:v>abiEncode</x:v>
      </x:c>
      <x:c r="H33" s="14" t="str"/>
      <x:c r="I33" s="14" t="str"/>
      <x:c r="J33" s="14" t="str">
        <x:v>market</x:v>
      </x:c>
      <x:c r="K33" s="16" t="str">
        <x:v>否</x:v>
      </x:c>
      <x:c r="L33" s="16" t="str">
        <x:v>否</x:v>
      </x:c>
      <x:c r="M33" s="14" t="str">
        <x:v>DataStore 直写(CONTROLLER)</x:v>
      </x:c>
      <x:c r="N33" s="14" t="str">
        <x:v>沿用/见变更表</x:v>
      </x:c>
      <x:c r="O33" s="14" t="str">
        <x:v>FX100Keys.sol / Config.sol / registry-v0.3.2.json</x:v>
      </x:c>
    </x:row>
    <x:row r="34">
      <x:c r="A34" s="16" t="n">
        <x:v>33</x:v>
      </x:c>
      <x:c r="B34" s="14" t="str">
        <x:v>常量</x:v>
      </x:c>
      <x:c r="C34" s="14" t="str">
        <x:v>MAX_LENDABLE_IMPACT_FACTOR</x:v>
      </x:c>
      <x:c r="D34" s="14" t="str">
        <x:v>MAX_LENDABLE_IMPACT_FACTOR</x:v>
      </x:c>
      <x:c r="E34" s="14" t="str">
        <x:v>MAX_LENDABLE_IMPACT_FACTOR</x:v>
      </x:c>
      <x:c r="F34" s="14" t="str">
        <x:v>⁠0x8cb6ce8cebc6a70c23e54c4b948605fa061c4abf34c0a944b4bbf3d5c600c553</x:v>
      </x:c>
      <x:c r="G34" s="14" t="str">
        <x:v>abiEncode</x:v>
      </x:c>
      <x:c r="H34" s="14" t="str"/>
      <x:c r="I34" s="14" t="str"/>
      <x:c r="J34" s="14" t="str">
        <x:v>market</x:v>
      </x:c>
      <x:c r="K34" s="16" t="str">
        <x:v>是</x:v>
      </x:c>
      <x:c r="L34" s="16" t="str">
        <x:v>否</x:v>
      </x:c>
      <x:c r="M34" s="14" t="str">
        <x:v>Config(CONFIG_KEEPER)</x:v>
      </x:c>
      <x:c r="N34" s="14" t="str">
        <x:v>沿用/见变更表</x:v>
      </x:c>
      <x:c r="O34" s="14" t="str">
        <x:v>FX100Keys.sol / Config.sol / registry-v0.3.2.json</x:v>
      </x:c>
    </x:row>
    <x:row r="35">
      <x:c r="A35" s="16" t="n">
        <x:v>34</x:v>
      </x:c>
      <x:c r="B35" s="14" t="str">
        <x:v>常量</x:v>
      </x:c>
      <x:c r="C35" s="14" t="str">
        <x:v>MAX_LENDABLE_IMPACT_FACTOR_FOR_WITHDRAWALS</x:v>
      </x:c>
      <x:c r="D35" s="14" t="str">
        <x:v>MAX_LENDABLE_IMPACT_FACTOR_FOR_WITHDRAWALS</x:v>
      </x:c>
      <x:c r="E35" s="14" t="str">
        <x:v>MAX_LENDABLE_IMPACT_FACTOR_FOR_WITHDRAWALS</x:v>
      </x:c>
      <x:c r="F35" s="14" t="str">
        <x:v>⁠0xc6c6dde5d3a836f7ef6788ebed0781dd77cd53faf9a0e00d7cc0867350df7c6e</x:v>
      </x:c>
      <x:c r="G35" s="14" t="str">
        <x:v>abiEncode</x:v>
      </x:c>
      <x:c r="H35" s="14" t="str"/>
      <x:c r="I35" s="14" t="str"/>
      <x:c r="J35" s="14" t="str">
        <x:v>market</x:v>
      </x:c>
      <x:c r="K35" s="16" t="str">
        <x:v>是</x:v>
      </x:c>
      <x:c r="L35" s="16" t="str">
        <x:v>否</x:v>
      </x:c>
      <x:c r="M35" s="14" t="str">
        <x:v>Config(CONFIG_KEEPER)</x:v>
      </x:c>
      <x:c r="N35" s="14" t="str">
        <x:v>沿用/见变更表</x:v>
      </x:c>
      <x:c r="O35" s="14" t="str">
        <x:v>FX100Keys.sol / Config.sol / registry-v0.3.2.json</x:v>
      </x:c>
    </x:row>
    <x:row r="36">
      <x:c r="A36" s="16" t="n">
        <x:v>35</x:v>
      </x:c>
      <x:c r="B36" s="14" t="str">
        <x:v>常量</x:v>
      </x:c>
      <x:c r="C36" s="14" t="str">
        <x:v>MAX_LENDABLE_IMPACT_USD</x:v>
      </x:c>
      <x:c r="D36" s="14" t="str">
        <x:v>MAX_LENDABLE_IMPACT_USD</x:v>
      </x:c>
      <x:c r="E36" s="14" t="str">
        <x:v>MAX_LENDABLE_IMPACT_USD</x:v>
      </x:c>
      <x:c r="F36" s="14" t="str">
        <x:v>⁠0xa23a9856708ad9f4c345187beed59b7f011e79542354bb7945a304577a52d9a7</x:v>
      </x:c>
      <x:c r="G36" s="14" t="str">
        <x:v>abiEncode</x:v>
      </x:c>
      <x:c r="H36" s="14" t="str"/>
      <x:c r="I36" s="14" t="str"/>
      <x:c r="J36" s="14" t="str">
        <x:v>market</x:v>
      </x:c>
      <x:c r="K36" s="16" t="str">
        <x:v>是</x:v>
      </x:c>
      <x:c r="L36" s="16" t="str">
        <x:v>否</x:v>
      </x:c>
      <x:c r="M36" s="14" t="str">
        <x:v>Config(CONFIG_KEEPER)</x:v>
      </x:c>
      <x:c r="N36" s="14" t="str">
        <x:v>沿用/见变更表</x:v>
      </x:c>
      <x:c r="O36" s="14" t="str">
        <x:v>FX100Keys.sol / Config.sol / registry-v0.3.2.json</x:v>
      </x:c>
    </x:row>
    <x:row r="37">
      <x:c r="A37" s="16" t="n">
        <x:v>36</x:v>
      </x:c>
      <x:c r="B37" s="14" t="str">
        <x:v>常量</x:v>
      </x:c>
      <x:c r="C37" s="14" t="str">
        <x:v>MIN_POSITION_IMPACT_POOL_AMOUNT</x:v>
      </x:c>
      <x:c r="D37" s="14" t="str">
        <x:v>MIN_POSITION_IMPACT_POOL_AMOUNT</x:v>
      </x:c>
      <x:c r="E37" s="14" t="str">
        <x:v>MIN_POSITION_IMPACT_POOL_AMOUNT</x:v>
      </x:c>
      <x:c r="F37" s="14" t="str">
        <x:v>⁠0x51b52cf96d34463f9bc4e5e8bec30840ef6136662d205186576876c6c858c14f</x:v>
      </x:c>
      <x:c r="G37" s="14" t="str">
        <x:v>abiEncode</x:v>
      </x:c>
      <x:c r="H37" s="14" t="str"/>
      <x:c r="I37" s="14" t="str"/>
      <x:c r="J37" s="14" t="str">
        <x:v>market</x:v>
      </x:c>
      <x:c r="K37" s="16" t="str">
        <x:v>否</x:v>
      </x:c>
      <x:c r="L37" s="16" t="str">
        <x:v>否</x:v>
      </x:c>
      <x:c r="M37" s="14" t="str">
        <x:v>DataStore 直写(CONTROLLER)</x:v>
      </x:c>
      <x:c r="N37" s="14" t="str">
        <x:v>沿用/见变更表</x:v>
      </x:c>
      <x:c r="O37" s="14" t="str">
        <x:v>FX100Keys.sol / Config.sol / registry-v0.3.2.json</x:v>
      </x:c>
    </x:row>
    <x:row r="38">
      <x:c r="A38" s="16" t="n">
        <x:v>37</x:v>
      </x:c>
      <x:c r="B38" s="14" t="str">
        <x:v>常量</x:v>
      </x:c>
      <x:c r="C38" s="14" t="str">
        <x:v>POSITION_IMPACT_POOL_DISTRIBUTION_RATE</x:v>
      </x:c>
      <x:c r="D38" s="14" t="str">
        <x:v>POSITION_IMPACT_POOL_DISTRIBUTION_RATE</x:v>
      </x:c>
      <x:c r="E38" s="14" t="str">
        <x:v>POSITION_IMPACT_POOL_DISTRIBUTION_RATE</x:v>
      </x:c>
      <x:c r="F38" s="14" t="str">
        <x:v>⁠0xf89ffe65e30e9f6c854fed9b2dc0954e8d3edcece3aaaba4690a29017308232d</x:v>
      </x:c>
      <x:c r="G38" s="14" t="str">
        <x:v>abiEncode</x:v>
      </x:c>
      <x:c r="H38" s="14" t="str"/>
      <x:c r="I38" s="14" t="str"/>
      <x:c r="J38" s="14" t="str">
        <x:v>market</x:v>
      </x:c>
      <x:c r="K38" s="16" t="str">
        <x:v>否</x:v>
      </x:c>
      <x:c r="L38" s="16" t="str">
        <x:v>否</x:v>
      </x:c>
      <x:c r="M38" s="14" t="str">
        <x:v>DataStore 直写(CONTROLLER)</x:v>
      </x:c>
      <x:c r="N38" s="14" t="str">
        <x:v>沿用/见变更表</x:v>
      </x:c>
      <x:c r="O38" s="14" t="str">
        <x:v>FX100Keys.sol / Config.sol / registry-v0.3.2.json</x:v>
      </x:c>
    </x:row>
    <x:row r="39">
      <x:c r="A39" s="16" t="n">
        <x:v>38</x:v>
      </x:c>
      <x:c r="B39" s="14" t="str">
        <x:v>常量</x:v>
      </x:c>
      <x:c r="C39" s="14" t="str">
        <x:v>POSITION_IMPACT_POOL_DISTRIBUTED_AT</x:v>
      </x:c>
      <x:c r="D39" s="14" t="str">
        <x:v>POSITION_IMPACT_POOL_DISTRIBUTED_AT</x:v>
      </x:c>
      <x:c r="E39" s="14" t="str">
        <x:v>POSITION_IMPACT_POOL_DISTRIBUTED_AT</x:v>
      </x:c>
      <x:c r="F39" s="14" t="str">
        <x:v>⁠0xd00ccd9302e904fc3b933c391098b79b121cf0d26e17f16e92abcd7fbc75cc5b</x:v>
      </x:c>
      <x:c r="G39" s="14" t="str">
        <x:v>abiEncode</x:v>
      </x:c>
      <x:c r="H39" s="14" t="str"/>
      <x:c r="I39" s="14" t="str"/>
      <x:c r="J39" s="14" t="str">
        <x:v>market</x:v>
      </x:c>
      <x:c r="K39" s="16" t="str">
        <x:v>否</x:v>
      </x:c>
      <x:c r="L39" s="16" t="str">
        <x:v>否</x:v>
      </x:c>
      <x:c r="M39" s="14" t="str">
        <x:v>DataStore 直写(CONTROLLER)</x:v>
      </x:c>
      <x:c r="N39" s="14" t="str">
        <x:v>沿用/见变更表</x:v>
      </x:c>
      <x:c r="O39" s="14" t="str">
        <x:v>FX100Keys.sol / Config.sol / registry-v0.3.2.json</x:v>
      </x:c>
    </x:row>
    <x:row r="40">
      <x:c r="A40" s="16" t="n">
        <x:v>39</x:v>
      </x:c>
      <x:c r="B40" s="14" t="str">
        <x:v>常量</x:v>
      </x:c>
      <x:c r="C40" s="14" t="str">
        <x:v>SWAP_IMPACT_POOL_AMOUNT</x:v>
      </x:c>
      <x:c r="D40" s="14" t="str">
        <x:v>SWAP_IMPACT_POOL_AMOUNT</x:v>
      </x:c>
      <x:c r="E40" s="14" t="str">
        <x:v>SWAP_IMPACT_POOL_AMOUNT</x:v>
      </x:c>
      <x:c r="F40" s="14" t="str">
        <x:v>⁠0x4fb1f90d8edf65669df0be41543c031da77cdaa09b807a81bebe3e2aaf3b17cb</x:v>
      </x:c>
      <x:c r="G40" s="14" t="str">
        <x:v>abiEncode</x:v>
      </x:c>
      <x:c r="H40" s="14" t="str"/>
      <x:c r="I40" s="14" t="str"/>
      <x:c r="J40" s="14" t="str">
        <x:v>market + token</x:v>
      </x:c>
      <x:c r="K40" s="16" t="str">
        <x:v>否</x:v>
      </x:c>
      <x:c r="L40" s="16" t="str">
        <x:v>否</x:v>
      </x:c>
      <x:c r="M40" s="14" t="str">
        <x:v>DataStore 直写(CONTROLLER)</x:v>
      </x:c>
      <x:c r="N40" s="14" t="str">
        <x:v>沿用/见变更表</x:v>
      </x:c>
      <x:c r="O40" s="14" t="str">
        <x:v>FX100Keys.sol / Config.sol / registry-v0.3.2.json</x:v>
      </x:c>
    </x:row>
    <x:row r="41">
      <x:c r="A41" s="16" t="n">
        <x:v>40</x:v>
      </x:c>
      <x:c r="B41" s="14" t="str">
        <x:v>常量</x:v>
      </x:c>
      <x:c r="C41" s="14" t="str">
        <x:v>PRICE_FEED</x:v>
      </x:c>
      <x:c r="D41" s="14" t="str">
        <x:v>PRICE_FEED</x:v>
      </x:c>
      <x:c r="E41" s="14" t="str">
        <x:v>PRICE_FEED</x:v>
      </x:c>
      <x:c r="F41" s="14" t="str">
        <x:v>⁠0x81aa94c2a32d037d5c7159805991f42e28203d981808ca299c160ae93ad8e555</x:v>
      </x:c>
      <x:c r="G41" s="14" t="str">
        <x:v>abiEncode</x:v>
      </x:c>
      <x:c r="H41" s="14" t="str"/>
      <x:c r="I41" s="14" t="str">
        <x:v>address</x:v>
      </x:c>
      <x:c r="J41" s="14" t="str">
        <x:v>token</x:v>
      </x:c>
      <x:c r="K41" s="16" t="str">
        <x:v>否</x:v>
      </x:c>
      <x:c r="L41" s="16" t="str">
        <x:v>否</x:v>
      </x:c>
      <x:c r="M41" s="14" t="str">
        <x:v>DataStore 直写(CONTROLLER)</x:v>
      </x:c>
      <x:c r="N41" s="14" t="str">
        <x:v>沿用/见变更表</x:v>
      </x:c>
      <x:c r="O41" s="14" t="str">
        <x:v>FX100Keys.sol / Config.sol / registry-v0.3.2.json</x:v>
      </x:c>
    </x:row>
    <x:row r="42">
      <x:c r="A42" s="16" t="n">
        <x:v>41</x:v>
      </x:c>
      <x:c r="B42" s="14" t="str">
        <x:v>常量</x:v>
      </x:c>
      <x:c r="C42" s="14" t="str">
        <x:v>PRICE_FEED_MULTIPLIER</x:v>
      </x:c>
      <x:c r="D42" s="14" t="str">
        <x:v>PRICE_FEED_MULTIPLIER</x:v>
      </x:c>
      <x:c r="E42" s="14" t="str">
        <x:v>PRICE_FEED_MULTIPLIER</x:v>
      </x:c>
      <x:c r="F42" s="14" t="str">
        <x:v>⁠0x83ba84737b6b708ae0e41e2bc28956c56998b33ca3c6c0a781e4382342fa3071</x:v>
      </x:c>
      <x:c r="G42" s="14" t="str">
        <x:v>abiEncode</x:v>
      </x:c>
      <x:c r="H42" s="14" t="str"/>
      <x:c r="I42" s="14" t="str">
        <x:v>uint</x:v>
      </x:c>
      <x:c r="J42" s="14" t="str">
        <x:v>token</x:v>
      </x:c>
      <x:c r="K42" s="16" t="str">
        <x:v>否</x:v>
      </x:c>
      <x:c r="L42" s="16" t="str">
        <x:v>否</x:v>
      </x:c>
      <x:c r="M42" s="14" t="str">
        <x:v>DataStore 直写(CONTROLLER)</x:v>
      </x:c>
      <x:c r="N42" s="14" t="str">
        <x:v>沿用/见变更表</x:v>
      </x:c>
      <x:c r="O42" s="14" t="str">
        <x:v>FX100Keys.sol / Config.sol / registry-v0.3.2.json</x:v>
      </x:c>
    </x:row>
    <x:row r="43">
      <x:c r="A43" s="16" t="n">
        <x:v>42</x:v>
      </x:c>
      <x:c r="B43" s="14" t="str">
        <x:v>常量</x:v>
      </x:c>
      <x:c r="C43" s="14" t="str">
        <x:v>PYTH_PRICE_FEED</x:v>
      </x:c>
      <x:c r="D43" s="14" t="str">
        <x:v>PYTH_PRICE_FEED</x:v>
      </x:c>
      <x:c r="E43" s="14" t="str">
        <x:v>PYTH_PRICE_FEED</x:v>
      </x:c>
      <x:c r="F43" s="14" t="str">
        <x:v>⁠0x31d968880ff1120ca745becc1a9745dab4b311430c8b023788f15c2fd6f4f897</x:v>
      </x:c>
      <x:c r="G43" s="14" t="str">
        <x:v>abiEncode</x:v>
      </x:c>
      <x:c r="H43" s="14" t="str"/>
      <x:c r="I43" s="14" t="str">
        <x:v>bytes32</x:v>
      </x:c>
      <x:c r="J43" s="14" t="str">
        <x:v>token</x:v>
      </x:c>
      <x:c r="K43" s="16" t="str">
        <x:v>否</x:v>
      </x:c>
      <x:c r="L43" s="16" t="str">
        <x:v>否</x:v>
      </x:c>
      <x:c r="M43" s="14" t="str">
        <x:v>DataStore 直写(CONTROLLER)</x:v>
      </x:c>
      <x:c r="N43" s="14" t="str">
        <x:v>沿用/见变更表</x:v>
      </x:c>
      <x:c r="O43" s="14" t="str">
        <x:v>FX100Keys.sol / Config.sol / registry-v0.3.2.json</x:v>
      </x:c>
    </x:row>
    <x:row r="44">
      <x:c r="A44" s="16" t="n">
        <x:v>43</x:v>
      </x:c>
      <x:c r="B44" s="14" t="str">
        <x:v>常量</x:v>
      </x:c>
      <x:c r="C44" s="14" t="str">
        <x:v>PYTH_PRICE_FEED_MULTIPLIER</x:v>
      </x:c>
      <x:c r="D44" s="14" t="str">
        <x:v>PYTH_PRICE_FEED_MULTIPLIER</x:v>
      </x:c>
      <x:c r="E44" s="14" t="str">
        <x:v>PYTH_PRICE_FEED_MULTIPLIER</x:v>
      </x:c>
      <x:c r="F44" s="14" t="str">
        <x:v>⁠0xb3c5975fd47f5633844b2fde42ae8103b00a674e51c26fdffb453c720235984e</x:v>
      </x:c>
      <x:c r="G44" s="14" t="str">
        <x:v>abiEncode</x:v>
      </x:c>
      <x:c r="H44" s="14" t="str"/>
      <x:c r="I44" s="14" t="str">
        <x:v>uint</x:v>
      </x:c>
      <x:c r="J44" s="14" t="str">
        <x:v>token</x:v>
      </x:c>
      <x:c r="K44" s="16" t="str">
        <x:v>否</x:v>
      </x:c>
      <x:c r="L44" s="16" t="str">
        <x:v>否</x:v>
      </x:c>
      <x:c r="M44" s="14" t="str">
        <x:v>DataStore 直写(CONTROLLER)</x:v>
      </x:c>
      <x:c r="N44" s="14" t="str">
        <x:v>沿用/见变更表</x:v>
      </x:c>
      <x:c r="O44" s="14" t="str">
        <x:v>FX100Keys.sol / Config.sol / registry-v0.3.2.json</x:v>
      </x:c>
    </x:row>
    <x:row r="45">
      <x:c r="A45" s="16" t="n">
        <x:v>44</x:v>
      </x:c>
      <x:c r="B45" s="14" t="str">
        <x:v>常量</x:v>
      </x:c>
      <x:c r="C45" s="14" t="str">
        <x:v>PRICE_FEED_HEARTBEAT_DURATION</x:v>
      </x:c>
      <x:c r="D45" s="14" t="str">
        <x:v>PRICE_FEED_HEARTBEAT_DURATION</x:v>
      </x:c>
      <x:c r="E45" s="14" t="str">
        <x:v>PRICE_FEED_HEARTBEAT_DURATION</x:v>
      </x:c>
      <x:c r="F45" s="14" t="str">
        <x:v>⁠0x69e355be3e99b33ce1a145b798739352367a6af7143f540e50ef6cbc2ef211cb</x:v>
      </x:c>
      <x:c r="G45" s="14" t="str">
        <x:v>abiEncode</x:v>
      </x:c>
      <x:c r="H45" s="14" t="str"/>
      <x:c r="I45" s="14" t="str">
        <x:v>uint</x:v>
      </x:c>
      <x:c r="J45" s="14" t="str">
        <x:v>token</x:v>
      </x:c>
      <x:c r="K45" s="16" t="str">
        <x:v>是</x:v>
      </x:c>
      <x:c r="L45" s="16" t="str">
        <x:v>否</x:v>
      </x:c>
      <x:c r="M45" s="14" t="str">
        <x:v>Config(CONFIG_KEEPER)</x:v>
      </x:c>
      <x:c r="N45" s="14" t="str">
        <x:v>沿用/见变更表</x:v>
      </x:c>
      <x:c r="O45" s="14" t="str">
        <x:v>FX100Keys.sol / Config.sol / registry-v0.3.2.json</x:v>
      </x:c>
    </x:row>
    <x:row r="46">
      <x:c r="A46" s="16" t="n">
        <x:v>45</x:v>
      </x:c>
      <x:c r="B46" s="14" t="str">
        <x:v>常量</x:v>
      </x:c>
      <x:c r="C46" s="14" t="str">
        <x:v>DATA_STREAM_ID</x:v>
      </x:c>
      <x:c r="D46" s="14" t="str">
        <x:v>DATA_STREAM_ID</x:v>
      </x:c>
      <x:c r="E46" s="14" t="str">
        <x:v>DATA_STREAM_ID</x:v>
      </x:c>
      <x:c r="F46" s="14" t="str">
        <x:v>⁠0xb0e5ff337a5342f322adf882ea142231d63ac56163479c6584faa447c66fef9d</x:v>
      </x:c>
      <x:c r="G46" s="14" t="str">
        <x:v>abiEncode</x:v>
      </x:c>
      <x:c r="H46" s="14" t="str"/>
      <x:c r="I46" s="14" t="str">
        <x:v>bytes32</x:v>
      </x:c>
      <x:c r="J46" s="14" t="str">
        <x:v>token</x:v>
      </x:c>
      <x:c r="K46" s="16" t="str">
        <x:v>否</x:v>
      </x:c>
      <x:c r="L46" s="16" t="str">
        <x:v>否</x:v>
      </x:c>
      <x:c r="M46" s="14" t="str">
        <x:v>DataStore 直写(CONTROLLER)</x:v>
      </x:c>
      <x:c r="N46" s="14" t="str">
        <x:v>沿用/见变更表</x:v>
      </x:c>
      <x:c r="O46" s="14" t="str">
        <x:v>FX100Keys.sol / Config.sol / registry-v0.3.2.json</x:v>
      </x:c>
    </x:row>
    <x:row r="47">
      <x:c r="A47" s="16" t="n">
        <x:v>46</x:v>
      </x:c>
      <x:c r="B47" s="14" t="str">
        <x:v>常量</x:v>
      </x:c>
      <x:c r="C47" s="14" t="str">
        <x:v>EDGE_DATA_STREAM_ID</x:v>
      </x:c>
      <x:c r="D47" s="14" t="str">
        <x:v>EDGE_DATA_STREAM_ID</x:v>
      </x:c>
      <x:c r="E47" s="14" t="str">
        <x:v>EDGE_DATA_STREAM_ID</x:v>
      </x:c>
      <x:c r="F47" s="14" t="str">
        <x:v>⁠0x64c4651b0c9ab3d7460b7042f1fce6898bedb987448d1db8e49017427569e055</x:v>
      </x:c>
      <x:c r="G47" s="14" t="str">
        <x:v>abiEncode</x:v>
      </x:c>
      <x:c r="H47" s="14" t="str"/>
      <x:c r="I47" s="14" t="str">
        <x:v>bytes32</x:v>
      </x:c>
      <x:c r="J47" s="14" t="str">
        <x:v>token</x:v>
      </x:c>
      <x:c r="K47" s="16" t="str">
        <x:v>否</x:v>
      </x:c>
      <x:c r="L47" s="16" t="str">
        <x:v>否</x:v>
      </x:c>
      <x:c r="M47" s="14" t="str">
        <x:v>DataStore 直写(CONTROLLER)</x:v>
      </x:c>
      <x:c r="N47" s="14" t="str">
        <x:v>沿用/见变更表</x:v>
      </x:c>
      <x:c r="O47" s="14" t="str">
        <x:v>FX100Keys.sol / Config.sol / registry-v0.3.2.json</x:v>
      </x:c>
    </x:row>
    <x:row r="48">
      <x:c r="A48" s="16" t="n">
        <x:v>47</x:v>
      </x:c>
      <x:c r="B48" s="14" t="str">
        <x:v>常量</x:v>
      </x:c>
      <x:c r="C48" s="14" t="str">
        <x:v>EDGE_DATA_STREAM_TOKEN_DECIMALS</x:v>
      </x:c>
      <x:c r="D48" s="14" t="str">
        <x:v>EDGE_DATA_STREAM_TOKEN_DECIMALS</x:v>
      </x:c>
      <x:c r="E48" s="14" t="str">
        <x:v>EDGE_DATA_STREAM_TOKEN_DECIMALS</x:v>
      </x:c>
      <x:c r="F48" s="14" t="str">
        <x:v>⁠0x2985c40996bd3ac324064d9523c4db1190509411ea19298f6f6e1bad303af80e</x:v>
      </x:c>
      <x:c r="G48" s="14" t="str">
        <x:v>abiEncode</x:v>
      </x:c>
      <x:c r="H48" s="14" t="str"/>
      <x:c r="I48" s="14" t="str">
        <x:v>uint</x:v>
      </x:c>
      <x:c r="J48" s="14" t="str">
        <x:v>token</x:v>
      </x:c>
      <x:c r="K48" s="16" t="str">
        <x:v>否</x:v>
      </x:c>
      <x:c r="L48" s="16" t="str">
        <x:v>否</x:v>
      </x:c>
      <x:c r="M48" s="14" t="str">
        <x:v>DataStore 直写(CONTROLLER)</x:v>
      </x:c>
      <x:c r="N48" s="14" t="str">
        <x:v>沿用/见变更表</x:v>
      </x:c>
      <x:c r="O48" s="14" t="str">
        <x:v>FX100Keys.sol / Config.sol / registry-v0.3.2.json</x:v>
      </x:c>
    </x:row>
    <x:row r="49">
      <x:c r="A49" s="16" t="n">
        <x:v>48</x:v>
      </x:c>
      <x:c r="B49" s="14" t="str">
        <x:v>常量</x:v>
      </x:c>
      <x:c r="C49" s="14" t="str">
        <x:v>DATA_STREAM_MULTIPLIER</x:v>
      </x:c>
      <x:c r="D49" s="14" t="str">
        <x:v>DATA_STREAM_MULTIPLIER</x:v>
      </x:c>
      <x:c r="E49" s="14" t="str">
        <x:v>DATA_STREAM_MULTIPLIER</x:v>
      </x:c>
      <x:c r="F49" s="14" t="str">
        <x:v>⁠0x7bad48bb191a799189b580e2b36b191467986ea06959f4392f0849479f927fe9</x:v>
      </x:c>
      <x:c r="G49" s="14" t="str">
        <x:v>abiEncode</x:v>
      </x:c>
      <x:c r="H49" s="14" t="str"/>
      <x:c r="I49" s="14" t="str">
        <x:v>uint</x:v>
      </x:c>
      <x:c r="J49" s="14" t="str">
        <x:v>token</x:v>
      </x:c>
      <x:c r="K49" s="16" t="str">
        <x:v>否</x:v>
      </x:c>
      <x:c r="L49" s="16" t="str">
        <x:v>否</x:v>
      </x:c>
      <x:c r="M49" s="14" t="str">
        <x:v>DataStore 直写(CONTROLLER)</x:v>
      </x:c>
      <x:c r="N49" s="14" t="str">
        <x:v>沿用/见变更表</x:v>
      </x:c>
      <x:c r="O49" s="14" t="str">
        <x:v>FX100Keys.sol / Config.sol / registry-v0.3.2.json</x:v>
      </x:c>
    </x:row>
    <x:row r="50">
      <x:c r="A50" s="16" t="n">
        <x:v>49</x:v>
      </x:c>
      <x:c r="B50" s="14" t="str">
        <x:v>常量</x:v>
      </x:c>
      <x:c r="C50" s="14" t="str">
        <x:v>DATA_STREAM_SPREAD_REDUCTION_FACTOR</x:v>
      </x:c>
      <x:c r="D50" s="14" t="str">
        <x:v>DATA_STREAM_SPREAD_REDUCTION_FACTOR</x:v>
      </x:c>
      <x:c r="E50" s="14" t="str">
        <x:v>DATA_STREAM_SPREAD_REDUCTION_FACTOR</x:v>
      </x:c>
      <x:c r="F50" s="14" t="str">
        <x:v>⁠0xb0bf3d1291eac42e5b8c37dffc1b0a30c893040789a64d7b1cb5091daa261503</x:v>
      </x:c>
      <x:c r="G50" s="14" t="str">
        <x:v>abiEncode</x:v>
      </x:c>
      <x:c r="H50" s="14" t="str"/>
      <x:c r="I50" s="14" t="str">
        <x:v>uint</x:v>
      </x:c>
      <x:c r="J50" s="14" t="str">
        <x:v>token</x:v>
      </x:c>
      <x:c r="K50" s="16" t="str">
        <x:v>是</x:v>
      </x:c>
      <x:c r="L50" s="16" t="str">
        <x:v>否</x:v>
      </x:c>
      <x:c r="M50" s="14" t="str">
        <x:v>Config(CONFIG_KEEPER)</x:v>
      </x:c>
      <x:c r="N50" s="14" t="str">
        <x:v>沿用/见变更表</x:v>
      </x:c>
      <x:c r="O50" s="14" t="str">
        <x:v>FX100Keys.sol / Config.sol / registry-v0.3.2.json</x:v>
      </x:c>
    </x:row>
    <x:row r="51">
      <x:c r="A51" s="16" t="n">
        <x:v>50</x:v>
      </x:c>
      <x:c r="B51" s="14" t="str">
        <x:v>常量</x:v>
      </x:c>
      <x:c r="C51" s="14" t="str">
        <x:v>STABLE_PRICE</x:v>
      </x:c>
      <x:c r="D51" s="14" t="str">
        <x:v>STABLE_PRICE</x:v>
      </x:c>
      <x:c r="E51" s="14" t="str">
        <x:v>STABLE_PRICE</x:v>
      </x:c>
      <x:c r="F51" s="14" t="str">
        <x:v>⁠0x6f64eca4396d54f1ceda702ad11639031126fc26b9d71c09d05771abe22cc450</x:v>
      </x:c>
      <x:c r="G51" s="14" t="str">
        <x:v>abiEncode</x:v>
      </x:c>
      <x:c r="H51" s="14" t="str"/>
      <x:c r="I51" s="14" t="str">
        <x:v>uint</x:v>
      </x:c>
      <x:c r="J51" s="14" t="str">
        <x:v>token</x:v>
      </x:c>
      <x:c r="K51" s="16" t="str">
        <x:v>否</x:v>
      </x:c>
      <x:c r="L51" s="16" t="str">
        <x:v>否</x:v>
      </x:c>
      <x:c r="M51" s="14" t="str">
        <x:v>DataStore 直写(CONTROLLER)</x:v>
      </x:c>
      <x:c r="N51" s="14" t="str">
        <x:v>沿用/见变更表</x:v>
      </x:c>
      <x:c r="O51" s="14" t="str">
        <x:v>FX100Keys.sol / Config.sol / registry-v0.3.2.json</x:v>
      </x:c>
    </x:row>
    <x:row r="52">
      <x:c r="A52" s="16" t="n">
        <x:v>51</x:v>
      </x:c>
      <x:c r="B52" s="14" t="str">
        <x:v>常量</x:v>
      </x:c>
      <x:c r="C52" s="14" t="str">
        <x:v>RESERVE_FACTOR</x:v>
      </x:c>
      <x:c r="D52" s="14" t="str">
        <x:v>RESERVE_FACTOR</x:v>
      </x:c>
      <x:c r="E52" s="14" t="str">
        <x:v>RESERVE_FACTOR</x:v>
      </x:c>
      <x:c r="F52" s="14" t="str">
        <x:v>⁠0xeb6dbcc031d84cf5bcdec21aafd7b4ea59618b0863960405767329a7ad41889a</x:v>
      </x:c>
      <x:c r="G52" s="14" t="str">
        <x:v>abiEncode</x:v>
      </x:c>
      <x:c r="H52" s="14" t="str"/>
      <x:c r="I52" s="14" t="str">
        <x:v>uint</x:v>
      </x:c>
      <x:c r="J52" s="14" t="str">
        <x:v>market</x:v>
      </x:c>
      <x:c r="K52" s="16" t="str">
        <x:v>是</x:v>
      </x:c>
      <x:c r="L52" s="16" t="str">
        <x:v>否</x:v>
      </x:c>
      <x:c r="M52" s="14" t="str">
        <x:v>Config(CONFIG_KEEPER)</x:v>
      </x:c>
      <x:c r="N52" s="14" t="str">
        <x:v>沿用/见变更表</x:v>
      </x:c>
      <x:c r="O52" s="14" t="str">
        <x:v>FX100Keys.sol / Config.sol / registry-v0.3.2.json</x:v>
      </x:c>
    </x:row>
    <x:row r="53">
      <x:c r="A53" s="16" t="n">
        <x:v>52</x:v>
      </x:c>
      <x:c r="B53" s="14" t="str">
        <x:v>常量</x:v>
      </x:c>
      <x:c r="C53" s="14" t="str">
        <x:v>MAX_PNL_FACTOR</x:v>
      </x:c>
      <x:c r="D53" s="14" t="str">
        <x:v>MAX_PNL_FACTOR</x:v>
      </x:c>
      <x:c r="E53" s="14" t="str">
        <x:v>MAX_PNL_FACTOR</x:v>
      </x:c>
      <x:c r="F53" s="14" t="str">
        <x:v>⁠0xd71a84af4a71a03c3fefcc9b7409cf8ddf5087c8ae89bfa83fc0daa003cd5bdd</x:v>
      </x:c>
      <x:c r="G53" s="14" t="str">
        <x:v>abiEncode</x:v>
      </x:c>
      <x:c r="H53" s="14" t="str"/>
      <x:c r="I53" s="14" t="str">
        <x:v>uint</x:v>
      </x:c>
      <x:c r="J53" s="14" t="str">
        <x:v>pnlFactorType + market + bool</x:v>
      </x:c>
      <x:c r="K53" s="16" t="str">
        <x:v>是</x:v>
      </x:c>
      <x:c r="L53" s="16" t="str">
        <x:v>否</x:v>
      </x:c>
      <x:c r="M53" s="14" t="str">
        <x:v>Config(CONFIG_KEEPER)</x:v>
      </x:c>
      <x:c r="N53" s="14" t="str">
        <x:v>沿用/见变更表</x:v>
      </x:c>
      <x:c r="O53" s="14" t="str">
        <x:v>FX100Keys.sol / Config.sol / registry-v0.3.2.json</x:v>
      </x:c>
    </x:row>
    <x:row r="54">
      <x:c r="A54" s="16" t="n">
        <x:v>53</x:v>
      </x:c>
      <x:c r="B54" s="14" t="str">
        <x:v>常量</x:v>
      </x:c>
      <x:c r="C54" s="14" t="str">
        <x:v>MAX_PNL_FACTOR_FOR_TRADERS</x:v>
      </x:c>
      <x:c r="D54" s="14" t="str">
        <x:v>MAX_PNL_FACTOR_FOR_TRADERS</x:v>
      </x:c>
      <x:c r="E54" s="14" t="str">
        <x:v>MAX_PNL_FACTOR_FOR_TRADERS</x:v>
      </x:c>
      <x:c r="F54" s="14" t="str">
        <x:v>⁠0xab15365d3aa743e766355e2557c230d8f943e195dc84d9b2b05928a07b635ee1</x:v>
      </x:c>
      <x:c r="G54" s="14" t="str">
        <x:v>abiEncode</x:v>
      </x:c>
      <x:c r="H54" s="14" t="str"/>
      <x:c r="I54" s="14" t="str"/>
      <x:c r="J54" s="14" t="str">
        <x:v>global/raw</x:v>
      </x:c>
      <x:c r="K54" s="16" t="str">
        <x:v>否</x:v>
      </x:c>
      <x:c r="L54" s="16" t="str">
        <x:v>否</x:v>
      </x:c>
      <x:c r="M54" s="14" t="str">
        <x:v>DataStore 直写(CONTROLLER)</x:v>
      </x:c>
      <x:c r="N54" s="14" t="str">
        <x:v>沿用/见变更表</x:v>
      </x:c>
      <x:c r="O54" s="14" t="str">
        <x:v>FX100Keys.sol / Config.sol / registry-v0.3.2.json</x:v>
      </x:c>
    </x:row>
    <x:row r="55">
      <x:c r="A55" s="16" t="n">
        <x:v>54</x:v>
      </x:c>
      <x:c r="B55" s="14" t="str">
        <x:v>常量</x:v>
      </x:c>
      <x:c r="C55" s="14" t="str">
        <x:v>MAX_PNL_FACTOR_FOR_ADL</x:v>
      </x:c>
      <x:c r="D55" s="14" t="str">
        <x:v>MAX_PNL_FACTOR_FOR_ADL</x:v>
      </x:c>
      <x:c r="E55" s="14" t="str">
        <x:v>MAX_PNL_FACTOR_FOR_ADL</x:v>
      </x:c>
      <x:c r="F55" s="14" t="str">
        <x:v>⁠0x95024a223e128da6224cc271671896642c5acb9ebf2f0432e71fcd87205177cf</x:v>
      </x:c>
      <x:c r="G55" s="14" t="str">
        <x:v>abiEncode</x:v>
      </x:c>
      <x:c r="H55" s="14" t="str"/>
      <x:c r="I55" s="14" t="str">
        <x:v>uint</x:v>
      </x:c>
      <x:c r="J55" s="14" t="str">
        <x:v>global/raw</x:v>
      </x:c>
      <x:c r="K55" s="16" t="str">
        <x:v>是</x:v>
      </x:c>
      <x:c r="L55" s="16" t="str">
        <x:v>否</x:v>
      </x:c>
      <x:c r="M55" s="14" t="str">
        <x:v>Config(CONFIG_KEEPER)</x:v>
      </x:c>
      <x:c r="N55" s="14" t="str">
        <x:v>沿用/见变更表</x:v>
      </x:c>
      <x:c r="O55" s="14" t="str">
        <x:v>FX100Keys.sol / Config.sol / registry-v0.3.2.json</x:v>
      </x:c>
    </x:row>
    <x:row r="56">
      <x:c r="A56" s="16" t="n">
        <x:v>55</x:v>
      </x:c>
      <x:c r="B56" s="14" t="str">
        <x:v>常量</x:v>
      </x:c>
      <x:c r="C56" s="14" t="str">
        <x:v>MIN_PNL_FACTOR_AFTER_ADL</x:v>
      </x:c>
      <x:c r="D56" s="14" t="str">
        <x:v>MIN_PNL_FACTOR_AFTER_ADL</x:v>
      </x:c>
      <x:c r="E56" s="14" t="str">
        <x:v>MIN_PNL_FACTOR_AFTER_ADL</x:v>
      </x:c>
      <x:c r="F56" s="14" t="str">
        <x:v>⁠0x87d8ac296048efc64f5a826815f8d178cd3e6c3d6f367340cc963df0aca137c6</x:v>
      </x:c>
      <x:c r="G56" s="14" t="str">
        <x:v>abiEncode</x:v>
      </x:c>
      <x:c r="H56" s="14" t="str"/>
      <x:c r="I56" s="14" t="str">
        <x:v>uint</x:v>
      </x:c>
      <x:c r="J56" s="14" t="str">
        <x:v>global/raw</x:v>
      </x:c>
      <x:c r="K56" s="16" t="str">
        <x:v>是</x:v>
      </x:c>
      <x:c r="L56" s="16" t="str">
        <x:v>否</x:v>
      </x:c>
      <x:c r="M56" s="14" t="str">
        <x:v>Config(CONFIG_KEEPER)</x:v>
      </x:c>
      <x:c r="N56" s="14" t="str">
        <x:v>沿用/见变更表</x:v>
      </x:c>
      <x:c r="O56" s="14" t="str">
        <x:v>FX100Keys.sol / Config.sol / registry-v0.3.2.json</x:v>
      </x:c>
    </x:row>
    <x:row r="57">
      <x:c r="A57" s="16" t="n">
        <x:v>56</x:v>
      </x:c>
      <x:c r="B57" s="14" t="str">
        <x:v>常量</x:v>
      </x:c>
      <x:c r="C57" s="14" t="str">
        <x:v>MAX_PNL_FACTOR_FOR_WITHDRAWALS</x:v>
      </x:c>
      <x:c r="D57" s="14" t="str">
        <x:v>MAX_PNL_FACTOR_FOR_WITHDRAWALS</x:v>
      </x:c>
      <x:c r="E57" s="14" t="str">
        <x:v>MAX_PNL_FACTOR_FOR_WITHDRAWALS</x:v>
      </x:c>
      <x:c r="F57" s="14" t="str">
        <x:v>⁠0xdd8747ceca84c84319e46661e0ee4095cc511df8c2208b6ff4e9d2b2e6930bb6</x:v>
      </x:c>
      <x:c r="G57" s="14" t="str">
        <x:v>abiEncode</x:v>
      </x:c>
      <x:c r="H57" s="14" t="str"/>
      <x:c r="I57" s="14" t="str">
        <x:v>uint</x:v>
      </x:c>
      <x:c r="J57" s="14" t="str">
        <x:v>global/raw</x:v>
      </x:c>
      <x:c r="K57" s="16" t="str">
        <x:v>是</x:v>
      </x:c>
      <x:c r="L57" s="16" t="str">
        <x:v>否</x:v>
      </x:c>
      <x:c r="M57" s="14" t="str">
        <x:v>Config(CONFIG_KEEPER)</x:v>
      </x:c>
      <x:c r="N57" s="14" t="str">
        <x:v>沿用/见变更表</x:v>
      </x:c>
      <x:c r="O57" s="14" t="str">
        <x:v>FX100Keys.sol / Config.sol / registry-v0.3.2.json</x:v>
      </x:c>
    </x:row>
    <x:row r="58">
      <x:c r="A58" s="16" t="n">
        <x:v>57</x:v>
      </x:c>
      <x:c r="B58" s="14" t="str">
        <x:v>常量</x:v>
      </x:c>
      <x:c r="C58" s="14" t="str">
        <x:v>LATEST_ADL_AT</x:v>
      </x:c>
      <x:c r="D58" s="14" t="str">
        <x:v>LATEST_ADL_AT</x:v>
      </x:c>
      <x:c r="E58" s="14" t="str">
        <x:v>LATEST_ADL_AT</x:v>
      </x:c>
      <x:c r="F58" s="14" t="str">
        <x:v>⁠0x9f5222d0036fe7d45792c87b696485c1d9aa86340684b0a87396ed26bb19f95a</x:v>
      </x:c>
      <x:c r="G58" s="14" t="str">
        <x:v>abiEncode</x:v>
      </x:c>
      <x:c r="H58" s="14" t="str"/>
      <x:c r="I58" s="14" t="str">
        <x:v>uint</x:v>
      </x:c>
      <x:c r="J58" s="14" t="str">
        <x:v>global/raw</x:v>
      </x:c>
      <x:c r="K58" s="16" t="str">
        <x:v>否</x:v>
      </x:c>
      <x:c r="L58" s="16" t="str">
        <x:v>否</x:v>
      </x:c>
      <x:c r="M58" s="14" t="str">
        <x:v>DataStore 直写(CONTROLLER)</x:v>
      </x:c>
      <x:c r="N58" s="14" t="str">
        <x:v>沿用/见变更表</x:v>
      </x:c>
      <x:c r="O58" s="14" t="str">
        <x:v>FX100Keys.sol / Config.sol / registry-v0.3.2.json</x:v>
      </x:c>
    </x:row>
    <x:row r="59">
      <x:c r="A59" s="16" t="n">
        <x:v>58</x:v>
      </x:c>
      <x:c r="B59" s="14" t="str">
        <x:v>常量</x:v>
      </x:c>
      <x:c r="C59" s="14" t="str">
        <x:v>IS_ADL_ENABLED</x:v>
      </x:c>
      <x:c r="D59" s="14" t="str">
        <x:v>IS_ADL_ENABLED</x:v>
      </x:c>
      <x:c r="E59" s="14" t="str">
        <x:v>IS_ADL_ENABLED</x:v>
      </x:c>
      <x:c r="F59" s="14" t="str">
        <x:v>⁠0x42d606829004e41fa153cb60d91f53d9fd69270a28d3d5a7ebbc9475a66bb4b8</x:v>
      </x:c>
      <x:c r="G59" s="14" t="str">
        <x:v>abiEncode</x:v>
      </x:c>
      <x:c r="H59" s="14" t="str"/>
      <x:c r="I59" s="14" t="str">
        <x:v>bool</x:v>
      </x:c>
      <x:c r="J59" s="14" t="str">
        <x:v>global/raw</x:v>
      </x:c>
      <x:c r="K59" s="16" t="str">
        <x:v>否</x:v>
      </x:c>
      <x:c r="L59" s="16" t="str">
        <x:v>否</x:v>
      </x:c>
      <x:c r="M59" s="14" t="str">
        <x:v>DataStore 直写(CONTROLLER)</x:v>
      </x:c>
      <x:c r="N59" s="14" t="str">
        <x:v>沿用/见变更表</x:v>
      </x:c>
      <x:c r="O59" s="14" t="str">
        <x:v>FX100Keys.sol / Config.sol / registry-v0.3.2.json</x:v>
      </x:c>
    </x:row>
    <x:row r="60">
      <x:c r="A60" s="16" t="n">
        <x:v>59</x:v>
      </x:c>
      <x:c r="B60" s="14" t="str">
        <x:v>常量</x:v>
      </x:c>
      <x:c r="C60" s="14" t="str">
        <x:v>FUNDING_SKEW_EMA</x:v>
      </x:c>
      <x:c r="D60" s="14" t="str">
        <x:v>FUNDING_SKEW_EMA</x:v>
      </x:c>
      <x:c r="E60" s="14" t="str">
        <x:v>FUNDING_SKEW_EMA</x:v>
      </x:c>
      <x:c r="F60" s="14" t="str">
        <x:v>⁠0x98a2bd04f401c6edc3345c21456bf32eceb7526ac2cc66ccc77544d132193b4e</x:v>
      </x:c>
      <x:c r="G60" s="14" t="str">
        <x:v>abiEncode</x:v>
      </x:c>
      <x:c r="H60" s="14" t="str"/>
      <x:c r="I60" s="14" t="str">
        <x:v>bytes32</x:v>
      </x:c>
      <x:c r="J60" s="14" t="str">
        <x:v>market</x:v>
      </x:c>
      <x:c r="K60" s="16" t="str">
        <x:v>否</x:v>
      </x:c>
      <x:c r="L60" s="16" t="str">
        <x:v>否</x:v>
      </x:c>
      <x:c r="M60" s="14" t="str">
        <x:v>DataStore 直写(CONTROLLER)</x:v>
      </x:c>
      <x:c r="N60" s="14" t="str">
        <x:v>沿用/见变更表</x:v>
      </x:c>
      <x:c r="O60" s="14" t="str">
        <x:v>FX100Keys.sol / Config.sol / registry-v0.3.2.json</x:v>
      </x:c>
    </x:row>
    <x:row r="61">
      <x:c r="A61" s="16" t="n">
        <x:v>60</x:v>
      </x:c>
      <x:c r="B61" s="14" t="str">
        <x:v>常量</x:v>
      </x:c>
      <x:c r="C61" s="14" t="str">
        <x:v>FUNDING_FLOOR_FACTOR</x:v>
      </x:c>
      <x:c r="D61" s="14" t="str">
        <x:v>FUNDING_FLOOR_FACTOR</x:v>
      </x:c>
      <x:c r="E61" s="14" t="str">
        <x:v>FUNDING_FLOOR_FACTOR</x:v>
      </x:c>
      <x:c r="F61" s="14" t="str">
        <x:v>⁠0x0484f133884266369d160226a2f90b073219469bb0fd143d9d5784464af6127e</x:v>
      </x:c>
      <x:c r="G61" s="14" t="str">
        <x:v>abiEncode</x:v>
      </x:c>
      <x:c r="H61" s="14" t="str"/>
      <x:c r="I61" s="14" t="str">
        <x:v>int</x:v>
      </x:c>
      <x:c r="J61" s="14" t="str">
        <x:v>market</x:v>
      </x:c>
      <x:c r="K61" s="16" t="str">
        <x:v>是</x:v>
      </x:c>
      <x:c r="L61" s="16" t="str">
        <x:v>否</x:v>
      </x:c>
      <x:c r="M61" s="14" t="str">
        <x:v>Config(CONFIG_KEEPER)</x:v>
      </x:c>
      <x:c r="N61" s="14" t="str">
        <x:v>沿用/见变更表</x:v>
      </x:c>
      <x:c r="O61" s="14" t="str">
        <x:v>FX100Keys.sol / Config.sol / registry-v0.3.2.json</x:v>
      </x:c>
    </x:row>
    <x:row r="62">
      <x:c r="A62" s="16" t="n">
        <x:v>61</x:v>
      </x:c>
      <x:c r="B62" s="14" t="str">
        <x:v>常量</x:v>
      </x:c>
      <x:c r="C62" s="14" t="str">
        <x:v>FUNDING_BASE_FACTOR</x:v>
      </x:c>
      <x:c r="D62" s="14" t="str">
        <x:v>FUNDING_BASE_FACTOR</x:v>
      </x:c>
      <x:c r="E62" s="14" t="str">
        <x:v>FUNDING_BASE_FACTOR</x:v>
      </x:c>
      <x:c r="F62" s="14" t="str">
        <x:v>⁠0x6be19a72079dc3f217d370f82b1b951f4cb3b0efa4edf91790fbcc496a359a4c</x:v>
      </x:c>
      <x:c r="G62" s="14" t="str">
        <x:v>abiEncode</x:v>
      </x:c>
      <x:c r="H62" s="14" t="str"/>
      <x:c r="I62" s="14" t="str">
        <x:v>int</x:v>
      </x:c>
      <x:c r="J62" s="14" t="str">
        <x:v>market</x:v>
      </x:c>
      <x:c r="K62" s="16" t="str">
        <x:v>是</x:v>
      </x:c>
      <x:c r="L62" s="16" t="str">
        <x:v>否</x:v>
      </x:c>
      <x:c r="M62" s="14" t="str">
        <x:v>Config(CONFIG_KEEPER)</x:v>
      </x:c>
      <x:c r="N62" s="14" t="str">
        <x:v>沿用/见变更表</x:v>
      </x:c>
      <x:c r="O62" s="14" t="str">
        <x:v>FX100Keys.sol / Config.sol / registry-v0.3.2.json</x:v>
      </x:c>
    </x:row>
    <x:row r="63">
      <x:c r="A63" s="16" t="n">
        <x:v>62</x:v>
      </x:c>
      <x:c r="B63" s="14" t="str">
        <x:v>常量</x:v>
      </x:c>
      <x:c r="C63" s="14" t="str">
        <x:v>MIN_FUNDING_FACTOR_PER_SECOND</x:v>
      </x:c>
      <x:c r="D63" s="14" t="str">
        <x:v>MIN_FUNDING_FACTOR_PER_SECOND</x:v>
      </x:c>
      <x:c r="E63" s="14" t="str">
        <x:v>MIN_FUNDING_FACTOR_PER_SECOND</x:v>
      </x:c>
      <x:c r="F63" s="14" t="str">
        <x:v>⁠0x368afb51b32c3d33dfca82b9cf2acb7189260668d74581e720aba5782e57cd14</x:v>
      </x:c>
      <x:c r="G63" s="14" t="str">
        <x:v>abiEncode</x:v>
      </x:c>
      <x:c r="H63" s="14" t="str"/>
      <x:c r="I63" s="14" t="str">
        <x:v>int</x:v>
      </x:c>
      <x:c r="J63" s="14" t="str">
        <x:v>market</x:v>
      </x:c>
      <x:c r="K63" s="16" t="str">
        <x:v>是</x:v>
      </x:c>
      <x:c r="L63" s="16" t="str">
        <x:v>是</x:v>
      </x:c>
      <x:c r="M63" s="14" t="str">
        <x:v>Config(CONFIG_KEEPER) / Config(LIMITED_CONFIG_KEEPER)</x:v>
      </x:c>
      <x:c r="N63" s="14" t="str">
        <x:v>沿用/见变更表</x:v>
      </x:c>
      <x:c r="O63" s="14" t="str">
        <x:v>FX100Keys.sol / Config.sol / registry-v0.3.2.json</x:v>
      </x:c>
    </x:row>
    <x:row r="64">
      <x:c r="A64" s="16" t="n">
        <x:v>63</x:v>
      </x:c>
      <x:c r="B64" s="14" t="str">
        <x:v>常量</x:v>
      </x:c>
      <x:c r="C64" s="14" t="str">
        <x:v>MAX_FUNDING_FACTOR_PER_SECOND</x:v>
      </x:c>
      <x:c r="D64" s="14" t="str">
        <x:v>MAX_FUNDING_FACTOR_PER_SECOND</x:v>
      </x:c>
      <x:c r="E64" s="14" t="str">
        <x:v>MAX_FUNDING_FACTOR_PER_SECOND</x:v>
      </x:c>
      <x:c r="F64" s="14" t="str">
        <x:v>⁠0xbeb1b2c6c23ef59c950f3194c435435cc060a612328d7b143074e6309e18e282</x:v>
      </x:c>
      <x:c r="G64" s="14" t="str">
        <x:v>abiEncode</x:v>
      </x:c>
      <x:c r="H64" s="14" t="str"/>
      <x:c r="I64" s="14" t="str">
        <x:v>int</x:v>
      </x:c>
      <x:c r="J64" s="14" t="str">
        <x:v>market</x:v>
      </x:c>
      <x:c r="K64" s="16" t="str">
        <x:v>是</x:v>
      </x:c>
      <x:c r="L64" s="16" t="str">
        <x:v>是</x:v>
      </x:c>
      <x:c r="M64" s="14" t="str">
        <x:v>Config(CONFIG_KEEPER) / Config(LIMITED_CONFIG_KEEPER)</x:v>
      </x:c>
      <x:c r="N64" s="14" t="str">
        <x:v>沿用/见变更表</x:v>
      </x:c>
      <x:c r="O64" s="14" t="str">
        <x:v>FX100Keys.sol / Config.sol / registry-v0.3.2.json</x:v>
      </x:c>
    </x:row>
    <x:row r="65">
      <x:c r="A65" s="16" t="n">
        <x:v>64</x:v>
      </x:c>
      <x:c r="B65" s="14" t="str">
        <x:v>常量</x:v>
      </x:c>
      <x:c r="C65" s="14" t="str">
        <x:v>THRESHOLD_FOR_STABLE_FUNDING</x:v>
      </x:c>
      <x:c r="D65" s="14" t="str">
        <x:v>THRESHOLD_FOR_STABLE_FUNDING</x:v>
      </x:c>
      <x:c r="E65" s="14" t="str">
        <x:v>THRESHOLD_FOR_STABLE_FUNDING</x:v>
      </x:c>
      <x:c r="F65" s="14" t="str">
        <x:v>⁠0x183bdff2eb59d396a4199bf4641673c64ce0e2a6229c72f8a07dccbe95d57d11</x:v>
      </x:c>
      <x:c r="G65" s="14" t="str">
        <x:v>abiEncode</x:v>
      </x:c>
      <x:c r="H65" s="14" t="str"/>
      <x:c r="I65" s="14" t="str"/>
      <x:c r="J65" s="14" t="str">
        <x:v>market</x:v>
      </x:c>
      <x:c r="K65" s="16" t="str">
        <x:v>是</x:v>
      </x:c>
      <x:c r="L65" s="16" t="str">
        <x:v>否</x:v>
      </x:c>
      <x:c r="M65" s="14" t="str">
        <x:v>Config(CONFIG_KEEPER)</x:v>
      </x:c>
      <x:c r="N65" s="14" t="str">
        <x:v>沿用/见变更表</x:v>
      </x:c>
      <x:c r="O65" s="14" t="str">
        <x:v>FX100Keys.sol / Config.sol / registry-v0.3.2.json</x:v>
      </x:c>
    </x:row>
    <x:row r="66">
      <x:c r="A66" s="16" t="n">
        <x:v>65</x:v>
      </x:c>
      <x:c r="B66" s="14" t="str">
        <x:v>常量</x:v>
      </x:c>
      <x:c r="C66" s="14" t="str">
        <x:v>THRESHOLD_FOR_DECREASE_FUNDING</x:v>
      </x:c>
      <x:c r="D66" s="14" t="str">
        <x:v>THRESHOLD_FOR_DECREASE_FUNDING</x:v>
      </x:c>
      <x:c r="E66" s="14" t="str">
        <x:v>THRESHOLD_FOR_DECREASE_FUNDING</x:v>
      </x:c>
      <x:c r="F66" s="14" t="str">
        <x:v>⁠0x6eca37816aa74c2687a4153398ea1ad6d8174b8118dbb94527279eb35673ef30</x:v>
      </x:c>
      <x:c r="G66" s="14" t="str">
        <x:v>abiEncode</x:v>
      </x:c>
      <x:c r="H66" s="14" t="str"/>
      <x:c r="I66" s="14" t="str"/>
      <x:c r="J66" s="14" t="str">
        <x:v>market</x:v>
      </x:c>
      <x:c r="K66" s="16" t="str">
        <x:v>是</x:v>
      </x:c>
      <x:c r="L66" s="16" t="str">
        <x:v>否</x:v>
      </x:c>
      <x:c r="M66" s="14" t="str">
        <x:v>Config(CONFIG_KEEPER)</x:v>
      </x:c>
      <x:c r="N66" s="14" t="str">
        <x:v>沿用/见变更表</x:v>
      </x:c>
      <x:c r="O66" s="14" t="str">
        <x:v>FX100Keys.sol / Config.sol / registry-v0.3.2.json</x:v>
      </x:c>
    </x:row>
    <x:row r="67">
      <x:c r="A67" s="16" t="n">
        <x:v>66</x:v>
      </x:c>
      <x:c r="B67" s="14" t="str">
        <x:v>常量</x:v>
      </x:c>
      <x:c r="C67" s="14" t="str">
        <x:v>NEGATIVE_FUNDING_FEE_PER_SIZE</x:v>
      </x:c>
      <x:c r="D67" s="14" t="str">
        <x:v>NEGATIVE_FUNDING_FEE_PER_SIZE</x:v>
      </x:c>
      <x:c r="E67" s="14" t="str">
        <x:v>NEGATIVE_FUNDING_FEE_PER_SIZE</x:v>
      </x:c>
      <x:c r="F67" s="14" t="str">
        <x:v>⁠0x6e8b87ea06c9221f73ea34e701e91933207ccae80ddbb99db974c44537bf28fd</x:v>
      </x:c>
      <x:c r="G67" s="14" t="str">
        <x:v>abiEncode</x:v>
      </x:c>
      <x:c r="H67" s="14" t="str"/>
      <x:c r="I67" s="14" t="str">
        <x:v>uint</x:v>
      </x:c>
      <x:c r="J67" s="14" t="str">
        <x:v>market + bool</x:v>
      </x:c>
      <x:c r="K67" s="16" t="str">
        <x:v>否</x:v>
      </x:c>
      <x:c r="L67" s="16" t="str">
        <x:v>否</x:v>
      </x:c>
      <x:c r="M67" s="14" t="str">
        <x:v>DataStore 直写(CONTROLLER)</x:v>
      </x:c>
      <x:c r="N67" s="14" t="str">
        <x:v>沿用/见变更表</x:v>
      </x:c>
      <x:c r="O67" s="14" t="str">
        <x:v>FX100Keys.sol / Config.sol / registry-v0.3.2.json</x:v>
      </x:c>
    </x:row>
    <x:row r="68">
      <x:c r="A68" s="16" t="n">
        <x:v>67</x:v>
      </x:c>
      <x:c r="B68" s="14" t="str">
        <x:v>常量</x:v>
      </x:c>
      <x:c r="C68" s="14" t="str">
        <x:v>POSITIVE_FUNDING_FEE_PER_SIZE</x:v>
      </x:c>
      <x:c r="D68" s="14" t="str">
        <x:v>POSITIVE_FUNDING_FEE_PER_SIZE</x:v>
      </x:c>
      <x:c r="E68" s="14" t="str">
        <x:v>POSITIVE_FUNDING_FEE_PER_SIZE</x:v>
      </x:c>
      <x:c r="F68" s="14" t="str">
        <x:v>⁠0xd59d824637df27725b710f83baffed2eb4933542b498c3bdebab94fa2d64bcb4</x:v>
      </x:c>
      <x:c r="G68" s="14" t="str">
        <x:v>abiEncode</x:v>
      </x:c>
      <x:c r="H68" s="14" t="str"/>
      <x:c r="I68" s="14" t="str">
        <x:v>uint</x:v>
      </x:c>
      <x:c r="J68" s="14" t="str">
        <x:v>market + bool</x:v>
      </x:c>
      <x:c r="K68" s="16" t="str">
        <x:v>否</x:v>
      </x:c>
      <x:c r="L68" s="16" t="str">
        <x:v>否</x:v>
      </x:c>
      <x:c r="M68" s="14" t="str">
        <x:v>DataStore 直写(CONTROLLER)</x:v>
      </x:c>
      <x:c r="N68" s="14" t="str">
        <x:v>沿用/见变更表</x:v>
      </x:c>
      <x:c r="O68" s="14" t="str">
        <x:v>FX100Keys.sol / Config.sol / registry-v0.3.2.json</x:v>
      </x:c>
    </x:row>
    <x:row r="69">
      <x:c r="A69" s="16" t="n">
        <x:v>68</x:v>
      </x:c>
      <x:c r="B69" s="14" t="str">
        <x:v>常量</x:v>
      </x:c>
      <x:c r="C69" s="14" t="str">
        <x:v>FUNDING_UPDATED_AT</x:v>
      </x:c>
      <x:c r="D69" s="14" t="str">
        <x:v>FUNDING_UPDATED_AT</x:v>
      </x:c>
      <x:c r="E69" s="14" t="str">
        <x:v>FUNDING_UPDATED_AT</x:v>
      </x:c>
      <x:c r="F69" s="14" t="str">
        <x:v>⁠0xb5ddf508060c27de8692c76ee937ac1c56cb8c1fb7431f074d2a0eb00b863ee6</x:v>
      </x:c>
      <x:c r="G69" s="14" t="str">
        <x:v>abiEncode</x:v>
      </x:c>
      <x:c r="H69" s="14" t="str"/>
      <x:c r="I69" s="14" t="str">
        <x:v>uint</x:v>
      </x:c>
      <x:c r="J69" s="14" t="str">
        <x:v>market</x:v>
      </x:c>
      <x:c r="K69" s="16" t="str">
        <x:v>否</x:v>
      </x:c>
      <x:c r="L69" s="16" t="str">
        <x:v>否</x:v>
      </x:c>
      <x:c r="M69" s="14" t="str">
        <x:v>DataStore 直写(CONTROLLER)</x:v>
      </x:c>
      <x:c r="N69" s="14" t="str">
        <x:v>沿用/见变更表</x:v>
      </x:c>
      <x:c r="O69" s="14" t="str">
        <x:v>FX100Keys.sol / Config.sol / registry-v0.3.2.json</x:v>
      </x:c>
    </x:row>
    <x:row r="70">
      <x:c r="A70" s="16" t="n">
        <x:v>69</x:v>
      </x:c>
      <x:c r="B70" s="14" t="str">
        <x:v>常量</x:v>
      </x:c>
      <x:c r="C70" s="14" t="str">
        <x:v>CLAIMABLE_FUNDING_AMOUNT</x:v>
      </x:c>
      <x:c r="D70" s="14" t="str">
        <x:v>CLAIMABLE_FUNDING_AMOUNT</x:v>
      </x:c>
      <x:c r="E70" s="14" t="str">
        <x:v>CLAIMABLE_FUNDING_AMOUNT</x:v>
      </x:c>
      <x:c r="F70" s="14" t="str">
        <x:v>⁠0x06fc3f5466c175728538f97bb3af89978c1db23c9c7f107930c4bb1b84305a1d</x:v>
      </x:c>
      <x:c r="G70" s="14" t="str">
        <x:v>abiEncode</x:v>
      </x:c>
      <x:c r="H70" s="14" t="str"/>
      <x:c r="I70" s="14" t="str"/>
      <x:c r="J70" s="14" t="str">
        <x:v>global/raw</x:v>
      </x:c>
      <x:c r="K70" s="16" t="str">
        <x:v>否</x:v>
      </x:c>
      <x:c r="L70" s="16" t="str">
        <x:v>否</x:v>
      </x:c>
      <x:c r="M70" s="14" t="str">
        <x:v>DataStore 直写(CONTROLLER)</x:v>
      </x:c>
      <x:c r="N70" s="14" t="str">
        <x:v>沿用/见变更表</x:v>
      </x:c>
      <x:c r="O70" s="14" t="str">
        <x:v>FX100Keys.sol / Config.sol / registry-v0.3.2.json</x:v>
      </x:c>
    </x:row>
    <x:row r="71">
      <x:c r="A71" s="16" t="n">
        <x:v>70</x:v>
      </x:c>
      <x:c r="B71" s="14" t="str">
        <x:v>常量</x:v>
      </x:c>
      <x:c r="C71" s="14" t="str">
        <x:v>OPTIMAL_USAGE_FACTOR</x:v>
      </x:c>
      <x:c r="D71" s="14" t="str">
        <x:v>OPTIMAL_USAGE_FACTOR</x:v>
      </x:c>
      <x:c r="E71" s="14" t="str">
        <x:v>OPTIMAL_USAGE_FACTOR</x:v>
      </x:c>
      <x:c r="F71" s="14" t="str">
        <x:v>⁠0xe6f533d0e6465526dc1f2ce029bfd519c4732e82e2774257b4d744f4601b0170</x:v>
      </x:c>
      <x:c r="G71" s="14" t="str">
        <x:v>abiEncode</x:v>
      </x:c>
      <x:c r="H71" s="14" t="str"/>
      <x:c r="I71" s="14" t="str"/>
      <x:c r="J71" s="14" t="str">
        <x:v>market + bool</x:v>
      </x:c>
      <x:c r="K71" s="16" t="str">
        <x:v>是</x:v>
      </x:c>
      <x:c r="L71" s="16" t="str">
        <x:v>否</x:v>
      </x:c>
      <x:c r="M71" s="14" t="str">
        <x:v>Config(CONFIG_KEEPER)</x:v>
      </x:c>
      <x:c r="N71" s="14" t="str">
        <x:v>沿用/见变更表</x:v>
      </x:c>
      <x:c r="O71" s="14" t="str">
        <x:v>FX100Keys.sol / Config.sol / registry-v0.3.2.json</x:v>
      </x:c>
    </x:row>
    <x:row r="72">
      <x:c r="A72" s="16" t="n">
        <x:v>71</x:v>
      </x:c>
      <x:c r="B72" s="14" t="str">
        <x:v>常量</x:v>
      </x:c>
      <x:c r="C72" s="14" t="str">
        <x:v>BASE_BORROWING_FACTOR</x:v>
      </x:c>
      <x:c r="D72" s="14" t="str">
        <x:v>BASE_BORROWING_FACTOR</x:v>
      </x:c>
      <x:c r="E72" s="14" t="str">
        <x:v>BASE_BORROWING_FACTOR</x:v>
      </x:c>
      <x:c r="F72" s="14" t="str">
        <x:v>⁠0x4b577b54505b207509b4801875038658b5a30a983be8e0ecaa07b480f3e519cf</x:v>
      </x:c>
      <x:c r="G72" s="14" t="str">
        <x:v>abiEncode</x:v>
      </x:c>
      <x:c r="H72" s="14" t="str"/>
      <x:c r="I72" s="14" t="str"/>
      <x:c r="J72" s="14" t="str">
        <x:v>market + bool</x:v>
      </x:c>
      <x:c r="K72" s="16" t="str">
        <x:v>是</x:v>
      </x:c>
      <x:c r="L72" s="16" t="str">
        <x:v>否</x:v>
      </x:c>
      <x:c r="M72" s="14" t="str">
        <x:v>Config(CONFIG_KEEPER)</x:v>
      </x:c>
      <x:c r="N72" s="14" t="str">
        <x:v>沿用/见变更表</x:v>
      </x:c>
      <x:c r="O72" s="14" t="str">
        <x:v>FX100Keys.sol / Config.sol / registry-v0.3.2.json</x:v>
      </x:c>
    </x:row>
    <x:row r="73">
      <x:c r="A73" s="16" t="n">
        <x:v>72</x:v>
      </x:c>
      <x:c r="B73" s="14" t="str">
        <x:v>常量</x:v>
      </x:c>
      <x:c r="C73" s="14" t="str">
        <x:v>ABOVE_OPTIMAL_USAGE_BORROWING_FACTOR</x:v>
      </x:c>
      <x:c r="D73" s="14" t="str">
        <x:v>ABOVE_OPTIMAL_USAGE_BORROWING_FACTOR</x:v>
      </x:c>
      <x:c r="E73" s="14" t="str">
        <x:v>ABOVE_OPTIMAL_USAGE_BORROWING_FACTOR</x:v>
      </x:c>
      <x:c r="F73" s="14" t="str">
        <x:v>⁠0x0697a21ae9a968612a7097b30b07df7630eaf35000c3e78ca63f17fd64c2266d</x:v>
      </x:c>
      <x:c r="G73" s="14" t="str">
        <x:v>abiEncode</x:v>
      </x:c>
      <x:c r="H73" s="14" t="str"/>
      <x:c r="I73" s="14" t="str"/>
      <x:c r="J73" s="14" t="str">
        <x:v>market + bool</x:v>
      </x:c>
      <x:c r="K73" s="16" t="str">
        <x:v>是</x:v>
      </x:c>
      <x:c r="L73" s="16" t="str">
        <x:v>否</x:v>
      </x:c>
      <x:c r="M73" s="14" t="str">
        <x:v>Config(CONFIG_KEEPER)</x:v>
      </x:c>
      <x:c r="N73" s="14" t="str">
        <x:v>沿用/见变更表</x:v>
      </x:c>
      <x:c r="O73" s="14" t="str">
        <x:v>FX100Keys.sol / Config.sol / registry-v0.3.2.json</x:v>
      </x:c>
    </x:row>
    <x:row r="74">
      <x:c r="A74" s="16" t="n">
        <x:v>73</x:v>
      </x:c>
      <x:c r="B74" s="14" t="str">
        <x:v>常量</x:v>
      </x:c>
      <x:c r="C74" s="14" t="str">
        <x:v>BORROWING_FACTOR</x:v>
      </x:c>
      <x:c r="D74" s="14" t="str">
        <x:v>BORROWING_FACTOR</x:v>
      </x:c>
      <x:c r="E74" s="14" t="str">
        <x:v>BORROWING_FACTOR</x:v>
      </x:c>
      <x:c r="F74" s="14" t="str">
        <x:v>⁠0xa38d85dceca084ba5b76ea9a3020c5536fb5cf7455ef13366c4f4ad20d24b3c2</x:v>
      </x:c>
      <x:c r="G74" s="14" t="str">
        <x:v>abiEncode</x:v>
      </x:c>
      <x:c r="H74" s="14" t="str"/>
      <x:c r="I74" s="14" t="str"/>
      <x:c r="J74" s="14" t="str">
        <x:v>market + bool</x:v>
      </x:c>
      <x:c r="K74" s="16" t="str">
        <x:v>是</x:v>
      </x:c>
      <x:c r="L74" s="16" t="str">
        <x:v>否</x:v>
      </x:c>
      <x:c r="M74" s="14" t="str">
        <x:v>Config(CONFIG_KEEPER)</x:v>
      </x:c>
      <x:c r="N74" s="14" t="str">
        <x:v>沿用/见变更表</x:v>
      </x:c>
      <x:c r="O74" s="14" t="str">
        <x:v>FX100Keys.sol / Config.sol / registry-v0.3.2.json</x:v>
      </x:c>
    </x:row>
    <x:row r="75">
      <x:c r="A75" s="16" t="n">
        <x:v>74</x:v>
      </x:c>
      <x:c r="B75" s="14" t="str">
        <x:v>常量</x:v>
      </x:c>
      <x:c r="C75" s="14" t="str">
        <x:v>BORROWING_EXPONENT_FACTOR</x:v>
      </x:c>
      <x:c r="D75" s="14" t="str">
        <x:v>BORROWING_EXPONENT_FACTOR</x:v>
      </x:c>
      <x:c r="E75" s="14" t="str">
        <x:v>BORROWING_EXPONENT_FACTOR</x:v>
      </x:c>
      <x:c r="F75" s="14" t="str">
        <x:v>⁠0x44e07d838924516f5b9c562ffc22db10a563a3f687178102325f6c448f2fa35d</x:v>
      </x:c>
      <x:c r="G75" s="14" t="str">
        <x:v>abiEncode</x:v>
      </x:c>
      <x:c r="H75" s="14" t="str"/>
      <x:c r="I75" s="14" t="str"/>
      <x:c r="J75" s="14" t="str">
        <x:v>market + bool</x:v>
      </x:c>
      <x:c r="K75" s="16" t="str">
        <x:v>是</x:v>
      </x:c>
      <x:c r="L75" s="16" t="str">
        <x:v>否</x:v>
      </x:c>
      <x:c r="M75" s="14" t="str">
        <x:v>Config(CONFIG_KEEPER)</x:v>
      </x:c>
      <x:c r="N75" s="14" t="str">
        <x:v>沿用/见变更表</x:v>
      </x:c>
      <x:c r="O75" s="14" t="str">
        <x:v>FX100Keys.sol / Config.sol / registry-v0.3.2.json</x:v>
      </x:c>
    </x:row>
    <x:row r="76">
      <x:c r="A76" s="16" t="n">
        <x:v>75</x:v>
      </x:c>
      <x:c r="B76" s="14" t="str">
        <x:v>常量</x:v>
      </x:c>
      <x:c r="C76" s="14" t="str">
        <x:v>SKIP_BORROWING_FEE_FOR_SMALLER_SIDE</x:v>
      </x:c>
      <x:c r="D76" s="14" t="str">
        <x:v>SKIP_BORROWING_FEE_FOR_SMALLER_SIDE</x:v>
      </x:c>
      <x:c r="E76" s="14" t="str">
        <x:v>SKIP_BORROWING_FEE_FOR_SMALLER_SIDE</x:v>
      </x:c>
      <x:c r="F76" s="14" t="str">
        <x:v>⁠0x6b11e342f6958fd7970dd58c6f71142d5edf77c480f9322a8e9c96b6cc7f7888</x:v>
      </x:c>
      <x:c r="G76" s="14" t="str">
        <x:v>abiEncode</x:v>
      </x:c>
      <x:c r="H76" s="14" t="str"/>
      <x:c r="I76" s="14" t="str">
        <x:v>bool</x:v>
      </x:c>
      <x:c r="J76" s="14" t="str">
        <x:v>global/raw</x:v>
      </x:c>
      <x:c r="K76" s="16" t="str">
        <x:v>是</x:v>
      </x:c>
      <x:c r="L76" s="16" t="str">
        <x:v>否</x:v>
      </x:c>
      <x:c r="M76" s="14" t="str">
        <x:v>Config(CONFIG_KEEPER)</x:v>
      </x:c>
      <x:c r="N76" s="14" t="str">
        <x:v>沿用/见变更表</x:v>
      </x:c>
      <x:c r="O76" s="14" t="str">
        <x:v>FX100Keys.sol / Config.sol / registry-v0.3.2.json</x:v>
      </x:c>
    </x:row>
    <x:row r="77">
      <x:c r="A77" s="16" t="n">
        <x:v>76</x:v>
      </x:c>
      <x:c r="B77" s="14" t="str">
        <x:v>常量</x:v>
      </x:c>
      <x:c r="C77" s="14" t="str">
        <x:v>CUMULATIVE_BORROWING_FACTOR</x:v>
      </x:c>
      <x:c r="D77" s="14" t="str">
        <x:v>CUMULATIVE_BORROWING_FACTOR</x:v>
      </x:c>
      <x:c r="E77" s="14" t="str">
        <x:v>CUMULATIVE_BORROWING_FACTOR</x:v>
      </x:c>
      <x:c r="F77" s="14" t="str">
        <x:v>⁠0xdfcf1ff0bd7c33ac55f48912a5ab14e3f2f75247a2a36b0f34c4bf025cf7aca9</x:v>
      </x:c>
      <x:c r="G77" s="14" t="str">
        <x:v>abiEncode</x:v>
      </x:c>
      <x:c r="H77" s="14" t="str"/>
      <x:c r="I77" s="14" t="str"/>
      <x:c r="J77" s="14" t="str">
        <x:v>market + bool</x:v>
      </x:c>
      <x:c r="K77" s="16" t="str">
        <x:v>否</x:v>
      </x:c>
      <x:c r="L77" s="16" t="str">
        <x:v>否</x:v>
      </x:c>
      <x:c r="M77" s="14" t="str">
        <x:v>DataStore 直写(CONTROLLER)</x:v>
      </x:c>
      <x:c r="N77" s="14" t="str">
        <x:v>沿用/见变更表</x:v>
      </x:c>
      <x:c r="O77" s="14" t="str">
        <x:v>FX100Keys.sol / Config.sol / registry-v0.3.2.json</x:v>
      </x:c>
    </x:row>
    <x:row r="78">
      <x:c r="A78" s="16" t="n">
        <x:v>77</x:v>
      </x:c>
      <x:c r="B78" s="14" t="str">
        <x:v>常量</x:v>
      </x:c>
      <x:c r="C78" s="14" t="str">
        <x:v>CUMULATIVE_BORROWING_FACTOR_UPDATED_AT</x:v>
      </x:c>
      <x:c r="D78" s="14" t="str">
        <x:v>CUMULATIVE_BORROWING_FACTOR_UPDATED_AT</x:v>
      </x:c>
      <x:c r="E78" s="14" t="str">
        <x:v>CUMULATIVE_BORROWING_FACTOR_UPDATED_AT</x:v>
      </x:c>
      <x:c r="F78" s="14" t="str">
        <x:v>⁠0x965350856896dd6e2b221d575c162996752999158c92401a2428740d55b419bf</x:v>
      </x:c>
      <x:c r="G78" s="14" t="str">
        <x:v>abiEncode</x:v>
      </x:c>
      <x:c r="H78" s="14" t="str"/>
      <x:c r="I78" s="14" t="str"/>
      <x:c r="J78" s="14" t="str">
        <x:v>market + bool</x:v>
      </x:c>
      <x:c r="K78" s="16" t="str">
        <x:v>否</x:v>
      </x:c>
      <x:c r="L78" s="16" t="str">
        <x:v>否</x:v>
      </x:c>
      <x:c r="M78" s="14" t="str">
        <x:v>DataStore 直写(CONTROLLER)</x:v>
      </x:c>
      <x:c r="N78" s="14" t="str">
        <x:v>沿用/见变更表</x:v>
      </x:c>
      <x:c r="O78" s="14" t="str">
        <x:v>FX100Keys.sol / Config.sol / registry-v0.3.2.json</x:v>
      </x:c>
    </x:row>
    <x:row r="79">
      <x:c r="A79" s="16" t="n">
        <x:v>78</x:v>
      </x:c>
      <x:c r="B79" s="14" t="str">
        <x:v>常量</x:v>
      </x:c>
      <x:c r="C79" s="14" t="str">
        <x:v>TOTAL_BORROWING</x:v>
      </x:c>
      <x:c r="D79" s="14" t="str">
        <x:v>TOTAL_BORROWING</x:v>
      </x:c>
      <x:c r="E79" s="14" t="str">
        <x:v>TOTAL_BORROWING</x:v>
      </x:c>
      <x:c r="F79" s="14" t="str">
        <x:v>⁠0xb5a3cadc939955394d5d3fe9fee404ec883da6f884f16effad30ffe7f352f819</x:v>
      </x:c>
      <x:c r="G79" s="14" t="str">
        <x:v>abiEncode</x:v>
      </x:c>
      <x:c r="H79" s="14" t="str"/>
      <x:c r="I79" s="14" t="str"/>
      <x:c r="J79" s="14" t="str">
        <x:v>market + bool</x:v>
      </x:c>
      <x:c r="K79" s="16" t="str">
        <x:v>否</x:v>
      </x:c>
      <x:c r="L79" s="16" t="str">
        <x:v>否</x:v>
      </x:c>
      <x:c r="M79" s="14" t="str">
        <x:v>DataStore 直写(CONTROLLER)</x:v>
      </x:c>
      <x:c r="N79" s="14" t="str">
        <x:v>沿用/见变更表</x:v>
      </x:c>
      <x:c r="O79" s="14" t="str">
        <x:v>FX100Keys.sol / Config.sol / registry-v0.3.2.json</x:v>
      </x:c>
    </x:row>
    <x:row r="80">
      <x:c r="A80" s="16" t="n">
        <x:v>79</x:v>
      </x:c>
      <x:c r="B80" s="14" t="str">
        <x:v>常量</x:v>
      </x:c>
      <x:c r="C80" s="14" t="str">
        <x:v>USE_OPEN_INTEREST_IN_TOKENS_FOR_BALANCE</x:v>
      </x:c>
      <x:c r="D80" s="14" t="str">
        <x:v>USE_OPEN_INTEREST_IN_TOKENS_FOR_BALANCE</x:v>
      </x:c>
      <x:c r="E80" s="14" t="str">
        <x:v>USE_OPEN_INTEREST_IN_TOKENS_FOR_BALANCE</x:v>
      </x:c>
      <x:c r="F80" s="14" t="str">
        <x:v>⁠0x75a3957e02e4119004dc68ed9253860288ddffa3fa2751cb5855a7eb30175c8e</x:v>
      </x:c>
      <x:c r="G80" s="14" t="str">
        <x:v>abiEncode</x:v>
      </x:c>
      <x:c r="H80" s="14" t="str"/>
      <x:c r="I80" s="14" t="str">
        <x:v>bool</x:v>
      </x:c>
      <x:c r="J80" s="14" t="str">
        <x:v>global/raw</x:v>
      </x:c>
      <x:c r="K80" s="16" t="str">
        <x:v>是</x:v>
      </x:c>
      <x:c r="L80" s="16" t="str">
        <x:v>否</x:v>
      </x:c>
      <x:c r="M80" s="14" t="str">
        <x:v>Config(CONFIG_KEEPER)</x:v>
      </x:c>
      <x:c r="N80" s="14" t="str">
        <x:v>沿用/见变更表</x:v>
      </x:c>
      <x:c r="O80" s="14" t="str">
        <x:v>FX100Keys.sol / Config.sol / registry-v0.3.2.json</x:v>
      </x:c>
    </x:row>
    <x:row r="81">
      <x:c r="A81" s="16" t="n">
        <x:v>80</x:v>
      </x:c>
      <x:c r="B81" s="14" t="str">
        <x:v>常量</x:v>
      </x:c>
      <x:c r="C81" s="14" t="str">
        <x:v>MIN_AFFILIATE_REWARD_FACTOR</x:v>
      </x:c>
      <x:c r="D81" s="14" t="str">
        <x:v>MIN_AFFILIATE_REWARD_FACTOR</x:v>
      </x:c>
      <x:c r="E81" s="14" t="str">
        <x:v>MIN_AFFILIATE_REWARD_FACTOR</x:v>
      </x:c>
      <x:c r="F81" s="14" t="str">
        <x:v>⁠0x09d70cb2fb73c06e5a8169307dc13065afda23608e0b571963118c08b7bcb09b</x:v>
      </x:c>
      <x:c r="G81" s="14" t="str">
        <x:v>abiEncode</x:v>
      </x:c>
      <x:c r="H81" s="14" t="str"/>
      <x:c r="I81" s="14" t="str">
        <x:v>uint</x:v>
      </x:c>
      <x:c r="J81" s="14" t="str">
        <x:v>referralTier</x:v>
      </x:c>
      <x:c r="K81" s="16" t="str">
        <x:v>是</x:v>
      </x:c>
      <x:c r="L81" s="16" t="str">
        <x:v>否</x:v>
      </x:c>
      <x:c r="M81" s="14" t="str">
        <x:v>Config(CONFIG_KEEPER)</x:v>
      </x:c>
      <x:c r="N81" s="14" t="str">
        <x:v>沿用/见变更表</x:v>
      </x:c>
      <x:c r="O81" s="14" t="str">
        <x:v>FX100Keys.sol / Config.sol / registry-v0.3.2.json</x:v>
      </x:c>
    </x:row>
    <x:row r="82">
      <x:c r="A82" s="16" t="n">
        <x:v>81</x:v>
      </x:c>
      <x:c r="B82" s="14" t="str">
        <x:v>常量</x:v>
      </x:c>
      <x:c r="C82" s="14" t="str">
        <x:v>AFFILIATE_REWARD</x:v>
      </x:c>
      <x:c r="D82" s="14" t="str">
        <x:v>AFFILIATE_REWARD</x:v>
      </x:c>
      <x:c r="E82" s="14" t="str">
        <x:v>AFFILIATE_REWARD</x:v>
      </x:c>
      <x:c r="F82" s="14" t="str">
        <x:v>⁠0xb22e5bee1a46af21985d9efc68d53f15baa450af6760c5a4a286bd26f37c3b3c</x:v>
      </x:c>
      <x:c r="G82" s="14" t="str">
        <x:v>abiEncode</x:v>
      </x:c>
      <x:c r="H82" s="14" t="str"/>
      <x:c r="I82" s="14" t="str"/>
      <x:c r="J82" s="14" t="str">
        <x:v>market + token + account</x:v>
      </x:c>
      <x:c r="K82" s="16" t="str">
        <x:v>否</x:v>
      </x:c>
      <x:c r="L82" s="16" t="str">
        <x:v>否</x:v>
      </x:c>
      <x:c r="M82" s="14" t="str">
        <x:v>DataStore 直写(CONTROLLER)</x:v>
      </x:c>
      <x:c r="N82" s="14" t="str">
        <x:v>沿用/见变更表</x:v>
      </x:c>
      <x:c r="O82" s="14" t="str">
        <x:v>FX100Keys.sol / Config.sol / registry-v0.3.2.json</x:v>
      </x:c>
    </x:row>
    <x:row r="83">
      <x:c r="A83" s="16" t="n">
        <x:v>82</x:v>
      </x:c>
      <x:c r="B83" s="14" t="str">
        <x:v>常量</x:v>
      </x:c>
      <x:c r="C83" s="14" t="str">
        <x:v>NONCE</x:v>
      </x:c>
      <x:c r="D83" s="14" t="str">
        <x:v>NONCE</x:v>
      </x:c>
      <x:c r="E83" s="14" t="str">
        <x:v>NONCE</x:v>
      </x:c>
      <x:c r="F83" s="14" t="str">
        <x:v>⁠0x61d7b15962e47499cf052e59076ed26d83442f0a746870faeec94287c0f3d55f</x:v>
      </x:c>
      <x:c r="G83" s="14" t="str">
        <x:v>abiEncode</x:v>
      </x:c>
      <x:c r="H83" s="14" t="str"/>
      <x:c r="I83" s="14" t="str">
        <x:v>uint</x:v>
      </x:c>
      <x:c r="J83" s="14" t="str">
        <x:v>global/raw</x:v>
      </x:c>
      <x:c r="K83" s="16" t="str">
        <x:v>否</x:v>
      </x:c>
      <x:c r="L83" s="16" t="str">
        <x:v>否</x:v>
      </x:c>
      <x:c r="M83" s="14" t="str">
        <x:v>DataStore 直写(CONTROLLER)</x:v>
      </x:c>
      <x:c r="N83" s="14" t="str">
        <x:v>沿用/见变更表</x:v>
      </x:c>
      <x:c r="O83" s="14" t="str">
        <x:v>FX100Keys.sol / Config.sol / registry-v0.3.2.json</x:v>
      </x:c>
    </x:row>
    <x:row r="84">
      <x:c r="A84" s="16" t="n">
        <x:v>83</x:v>
      </x:c>
      <x:c r="B84" s="14" t="str">
        <x:v>常量</x:v>
      </x:c>
      <x:c r="C84" s="14" t="str">
        <x:v>FEE_RECEIVER</x:v>
      </x:c>
      <x:c r="D84" s="14" t="str">
        <x:v>FEE_RECEIVER</x:v>
      </x:c>
      <x:c r="E84" s="14" t="str">
        <x:v>FEE_RECEIVER</x:v>
      </x:c>
      <x:c r="F84" s="14" t="str">
        <x:v>⁠0x27b063950f8f840ec54a6c89264fe84c340d2e36c5461ab6fdfb822573067108</x:v>
      </x:c>
      <x:c r="G84" s="14" t="str">
        <x:v>abiEncode</x:v>
      </x:c>
      <x:c r="H84" s="14" t="str"/>
      <x:c r="I84" s="14" t="str">
        <x:v>address</x:v>
      </x:c>
      <x:c r="J84" s="14" t="str">
        <x:v>global/raw</x:v>
      </x:c>
      <x:c r="K84" s="16" t="str">
        <x:v>否</x:v>
      </x:c>
      <x:c r="L84" s="16" t="str">
        <x:v>否</x:v>
      </x:c>
      <x:c r="M84" s="14" t="str">
        <x:v>DataStore 直写(CONTROLLER)</x:v>
      </x:c>
      <x:c r="N84" s="14" t="str">
        <x:v>沿用/见变更表</x:v>
      </x:c>
      <x:c r="O84" s="14" t="str">
        <x:v>FX100Keys.sol / Config.sol / registry-v0.3.2.json</x:v>
      </x:c>
    </x:row>
    <x:row r="85">
      <x:c r="A85" s="16" t="n">
        <x:v>84</x:v>
      </x:c>
      <x:c r="B85" s="14" t="str">
        <x:v>常量</x:v>
      </x:c>
      <x:c r="C85" s="14" t="str">
        <x:v>HOLDING_ADDRESS</x:v>
      </x:c>
      <x:c r="D85" s="14" t="str">
        <x:v>HOLDING_ADDRESS</x:v>
      </x:c>
      <x:c r="E85" s="14" t="str">
        <x:v>HOLDING_ADDRESS</x:v>
      </x:c>
      <x:c r="F85" s="14" t="str">
        <x:v>⁠0xedb1530fc28f30624c93628ad31b7268776e448c849abb51e7e59c52548beaab</x:v>
      </x:c>
      <x:c r="G85" s="14" t="str">
        <x:v>abiEncode</x:v>
      </x:c>
      <x:c r="H85" s="14" t="str"/>
      <x:c r="I85" s="14" t="str">
        <x:v>address</x:v>
      </x:c>
      <x:c r="J85" s="14" t="str">
        <x:v>global/raw</x:v>
      </x:c>
      <x:c r="K85" s="16" t="str">
        <x:v>否</x:v>
      </x:c>
      <x:c r="L85" s="16" t="str">
        <x:v>否</x:v>
      </x:c>
      <x:c r="M85" s="14" t="str">
        <x:v>DataStore 直写(CONTROLLER)</x:v>
      </x:c>
      <x:c r="N85" s="14" t="str">
        <x:v>沿用/见变更表</x:v>
      </x:c>
      <x:c r="O85" s="14" t="str">
        <x:v>FX100Keys.sol / Config.sol / registry-v0.3.2.json</x:v>
      </x:c>
    </x:row>
    <x:row r="86">
      <x:c r="A86" s="16" t="n">
        <x:v>85</x:v>
      </x:c>
      <x:c r="B86" s="14" t="str">
        <x:v>常量</x:v>
      </x:c>
      <x:c r="C86" s="14" t="str">
        <x:v>RELAY_FEE_ADDRESS</x:v>
      </x:c>
      <x:c r="D86" s="14" t="str">
        <x:v>RELAY_FEE_ADDRESS</x:v>
      </x:c>
      <x:c r="E86" s="14" t="str">
        <x:v>RELAY_FEE_ADDRESS</x:v>
      </x:c>
      <x:c r="F86" s="14" t="str">
        <x:v>⁠0xcd295147effa98263715fb5d6f36ea27805332189fb3a023b2d7a14092dacb3d</x:v>
      </x:c>
      <x:c r="G86" s="14" t="str">
        <x:v>abiEncode</x:v>
      </x:c>
      <x:c r="H86" s="14" t="str"/>
      <x:c r="I86" s="14" t="str"/>
      <x:c r="J86" s="14" t="str">
        <x:v>global/raw</x:v>
      </x:c>
      <x:c r="K86" s="16" t="str">
        <x:v>是</x:v>
      </x:c>
      <x:c r="L86" s="16" t="str">
        <x:v>否</x:v>
      </x:c>
      <x:c r="M86" s="14" t="str">
        <x:v>Config(CONFIG_KEEPER)</x:v>
      </x:c>
      <x:c r="N86" s="14" t="str">
        <x:v>沿用/见变更表</x:v>
      </x:c>
      <x:c r="O86" s="14" t="str">
        <x:v>FX100Keys.sol / Config.sol / registry-v0.3.2.json</x:v>
      </x:c>
    </x:row>
    <x:row r="87">
      <x:c r="A87" s="16" t="n">
        <x:v>86</x:v>
      </x:c>
      <x:c r="B87" s="14" t="str">
        <x:v>常量</x:v>
      </x:c>
      <x:c r="C87" s="14" t="str">
        <x:v>MIN_HANDLE_EXECUTION_ERROR_GAS</x:v>
      </x:c>
      <x:c r="D87" s="14" t="str">
        <x:v>MIN_HANDLE_EXECUTION_ERROR_GAS</x:v>
      </x:c>
      <x:c r="E87" s="14" t="str">
        <x:v>MIN_HANDLE_EXECUTION_ERROR_GAS</x:v>
      </x:c>
      <x:c r="F87" s="14" t="str">
        <x:v>⁠0xf65cd06b72dca04f73edc6036e3cc0149ed7b805993dfb79d52f804ef0db10e5</x:v>
      </x:c>
      <x:c r="G87" s="14" t="str">
        <x:v>abiEncode</x:v>
      </x:c>
      <x:c r="H87" s="14" t="str"/>
      <x:c r="I87" s="14" t="str">
        <x:v>uint</x:v>
      </x:c>
      <x:c r="J87" s="14" t="str">
        <x:v>global/raw</x:v>
      </x:c>
      <x:c r="K87" s="16" t="str">
        <x:v>是</x:v>
      </x:c>
      <x:c r="L87" s="16" t="str">
        <x:v>否</x:v>
      </x:c>
      <x:c r="M87" s="14" t="str">
        <x:v>Config(CONFIG_KEEPER)</x:v>
      </x:c>
      <x:c r="N87" s="14" t="str">
        <x:v>沿用/见变更表</x:v>
      </x:c>
      <x:c r="O87" s="14" t="str">
        <x:v>FX100Keys.sol / Config.sol / registry-v0.3.2.json</x:v>
      </x:c>
    </x:row>
    <x:row r="88">
      <x:c r="A88" s="16" t="n">
        <x:v>87</x:v>
      </x:c>
      <x:c r="B88" s="14" t="str">
        <x:v>常量</x:v>
      </x:c>
      <x:c r="C88" s="14" t="str">
        <x:v>MIN_HANDLE_EXECUTION_ERROR_GAS_TO_FORWARD</x:v>
      </x:c>
      <x:c r="D88" s="14" t="str">
        <x:v>MIN_HANDLE_EXECUTION_ERROR_GAS_TO_FORWARD</x:v>
      </x:c>
      <x:c r="E88" s="14" t="str">
        <x:v>MIN_HANDLE_EXECUTION_ERROR_GAS_TO_FORWARD</x:v>
      </x:c>
      <x:c r="F88" s="14" t="str">
        <x:v>⁠0x8f89c5181fb3126c328569bd9d983aad3d1cf891a0dc2d10dd2ed2aedfa18c39</x:v>
      </x:c>
      <x:c r="G88" s="14" t="str">
        <x:v>abiEncode</x:v>
      </x:c>
      <x:c r="H88" s="14" t="str"/>
      <x:c r="I88" s="14" t="str">
        <x:v>uint</x:v>
      </x:c>
      <x:c r="J88" s="14" t="str">
        <x:v>global/raw</x:v>
      </x:c>
      <x:c r="K88" s="16" t="str">
        <x:v>是</x:v>
      </x:c>
      <x:c r="L88" s="16" t="str">
        <x:v>否</x:v>
      </x:c>
      <x:c r="M88" s="14" t="str">
        <x:v>Config(CONFIG_KEEPER)</x:v>
      </x:c>
      <x:c r="N88" s="14" t="str">
        <x:v>沿用/见变更表</x:v>
      </x:c>
      <x:c r="O88" s="14" t="str">
        <x:v>FX100Keys.sol / Config.sol / registry-v0.3.2.json</x:v>
      </x:c>
    </x:row>
    <x:row r="89">
      <x:c r="A89" s="16" t="n">
        <x:v>88</x:v>
      </x:c>
      <x:c r="B89" s="14" t="str">
        <x:v>常量</x:v>
      </x:c>
      <x:c r="C89" s="14" t="str">
        <x:v>MIN_ADDITIONAL_GAS_FOR_EXECUTION</x:v>
      </x:c>
      <x:c r="D89" s="14" t="str">
        <x:v>MIN_ADDITIONAL_GAS_FOR_EXECUTION</x:v>
      </x:c>
      <x:c r="E89" s="14" t="str">
        <x:v>MIN_ADDITIONAL_GAS_FOR_EXECUTION</x:v>
      </x:c>
      <x:c r="F89" s="14" t="str">
        <x:v>⁠0x1bd286d5d2339da978c5b93c7b579e5087e18bbb5509aa18095c879151945822</x:v>
      </x:c>
      <x:c r="G89" s="14" t="str">
        <x:v>abiEncode</x:v>
      </x:c>
      <x:c r="H89" s="14" t="str"/>
      <x:c r="I89" s="14" t="str">
        <x:v>uint</x:v>
      </x:c>
      <x:c r="J89" s="14" t="str">
        <x:v>global/raw</x:v>
      </x:c>
      <x:c r="K89" s="16" t="str">
        <x:v>是</x:v>
      </x:c>
      <x:c r="L89" s="16" t="str">
        <x:v>否</x:v>
      </x:c>
      <x:c r="M89" s="14" t="str">
        <x:v>Config(CONFIG_KEEPER)</x:v>
      </x:c>
      <x:c r="N89" s="14" t="str">
        <x:v>沿用/见变更表</x:v>
      </x:c>
      <x:c r="O89" s="14" t="str">
        <x:v>FX100Keys.sol / Config.sol / registry-v0.3.2.json</x:v>
      </x:c>
    </x:row>
    <x:row r="90">
      <x:c r="A90" s="16" t="n">
        <x:v>89</x:v>
      </x:c>
      <x:c r="B90" s="14" t="str">
        <x:v>常量</x:v>
      </x:c>
      <x:c r="C90" s="14" t="str">
        <x:v>REENTRANCY_GUARD_STATUS</x:v>
      </x:c>
      <x:c r="D90" s="14" t="str">
        <x:v>REENTRANCY_GUARD_STATUS</x:v>
      </x:c>
      <x:c r="E90" s="14" t="str">
        <x:v>REENTRANCY_GUARD_STATUS</x:v>
      </x:c>
      <x:c r="F90" s="14" t="str">
        <x:v>⁠0x146a497980efd3d6d0343e6f486010ed887d93f221e3fb61c76b1266c210bfd1</x:v>
      </x:c>
      <x:c r="G90" s="14" t="str">
        <x:v>abiEncode</x:v>
      </x:c>
      <x:c r="H90" s="14" t="str"/>
      <x:c r="I90" s="14" t="str"/>
      <x:c r="J90" s="14" t="str">
        <x:v>global/raw</x:v>
      </x:c>
      <x:c r="K90" s="16" t="str">
        <x:v>否</x:v>
      </x:c>
      <x:c r="L90" s="16" t="str">
        <x:v>否</x:v>
      </x:c>
      <x:c r="M90" s="14" t="str">
        <x:v>DataStore 直写(CONTROLLER)</x:v>
      </x:c>
      <x:c r="N90" s="14" t="str">
        <x:v>沿用/见变更表</x:v>
      </x:c>
      <x:c r="O90" s="14" t="str">
        <x:v>FX100Keys.sol / Config.sol / registry-v0.3.2.json</x:v>
      </x:c>
    </x:row>
    <x:row r="91">
      <x:c r="A91" s="16" t="n">
        <x:v>90</x:v>
      </x:c>
      <x:c r="B91" s="14" t="str">
        <x:v>常量</x:v>
      </x:c>
      <x:c r="C91" s="14" t="str">
        <x:v>DEPOSIT_FEE_TYPE</x:v>
      </x:c>
      <x:c r="D91" s="14" t="str">
        <x:v>DEPOSIT_FEE_TYPE</x:v>
      </x:c>
      <x:c r="E91" s="14" t="str">
        <x:v>DEPOSIT_FEE_TYPE</x:v>
      </x:c>
      <x:c r="F91" s="14" t="str">
        <x:v>⁠0x39226eb4fed85317aa310fa53f734c7af59274c49325ab568f9c4592250e8cc5</x:v>
      </x:c>
      <x:c r="G91" s="14" t="str">
        <x:v>abiEncode</x:v>
      </x:c>
      <x:c r="H91" s="14" t="str"/>
      <x:c r="I91" s="14" t="str"/>
      <x:c r="J91" s="14" t="str">
        <x:v>global/raw</x:v>
      </x:c>
      <x:c r="K91" s="16" t="str">
        <x:v>否</x:v>
      </x:c>
      <x:c r="L91" s="16" t="str">
        <x:v>否</x:v>
      </x:c>
      <x:c r="M91" s="14" t="str">
        <x:v>DataStore 直写(CONTROLLER)</x:v>
      </x:c>
      <x:c r="N91" s="14" t="str">
        <x:v>沿用/见变更表</x:v>
      </x:c>
      <x:c r="O91" s="14" t="str">
        <x:v>FX100Keys.sol / Config.sol / registry-v0.3.2.json</x:v>
      </x:c>
    </x:row>
    <x:row r="92">
      <x:c r="A92" s="16" t="n">
        <x:v>91</x:v>
      </x:c>
      <x:c r="B92" s="14" t="str">
        <x:v>常量</x:v>
      </x:c>
      <x:c r="C92" s="14" t="str">
        <x:v>WITHDRAWAL_FEE_TYPE</x:v>
      </x:c>
      <x:c r="D92" s="14" t="str">
        <x:v>WITHDRAWAL_FEE_TYPE</x:v>
      </x:c>
      <x:c r="E92" s="14" t="str">
        <x:v>WITHDRAWAL_FEE_TYPE</x:v>
      </x:c>
      <x:c r="F92" s="14" t="str">
        <x:v>⁠0xda1ac8fcb4f900f8ab7c364d553e5b6b8bdc58f74160df840be80995056f3838</x:v>
      </x:c>
      <x:c r="G92" s="14" t="str">
        <x:v>abiEncode</x:v>
      </x:c>
      <x:c r="H92" s="14" t="str"/>
      <x:c r="I92" s="14" t="str"/>
      <x:c r="J92" s="14" t="str">
        <x:v>global/raw</x:v>
      </x:c>
      <x:c r="K92" s="16" t="str">
        <x:v>否</x:v>
      </x:c>
      <x:c r="L92" s="16" t="str">
        <x:v>否</x:v>
      </x:c>
      <x:c r="M92" s="14" t="str">
        <x:v>DataStore 直写(CONTROLLER)</x:v>
      </x:c>
      <x:c r="N92" s="14" t="str">
        <x:v>沿用/见变更表</x:v>
      </x:c>
      <x:c r="O92" s="14" t="str">
        <x:v>FX100Keys.sol / Config.sol / registry-v0.3.2.json</x:v>
      </x:c>
    </x:row>
    <x:row r="93">
      <x:c r="A93" s="16" t="n">
        <x:v>92</x:v>
      </x:c>
      <x:c r="B93" s="14" t="str">
        <x:v>常量</x:v>
      </x:c>
      <x:c r="C93" s="14" t="str">
        <x:v>SWAP_FEE_TYPE</x:v>
      </x:c>
      <x:c r="D93" s="14" t="str">
        <x:v>SWAP_FEE_TYPE</x:v>
      </x:c>
      <x:c r="E93" s="14" t="str">
        <x:v>SWAP_FEE_TYPE</x:v>
      </x:c>
      <x:c r="F93" s="14" t="str">
        <x:v>⁠0x7ad0b6f464d338ea140ff9ef891b4a69cf89f107060a105c31bb985d9e532214</x:v>
      </x:c>
      <x:c r="G93" s="14" t="str">
        <x:v>abiEncode</x:v>
      </x:c>
      <x:c r="H93" s="14" t="str"/>
      <x:c r="I93" s="14" t="str"/>
      <x:c r="J93" s="14" t="str">
        <x:v>global/raw</x:v>
      </x:c>
      <x:c r="K93" s="16" t="str">
        <x:v>否</x:v>
      </x:c>
      <x:c r="L93" s="16" t="str">
        <x:v>否</x:v>
      </x:c>
      <x:c r="M93" s="14" t="str">
        <x:v>DataStore 直写(CONTROLLER)</x:v>
      </x:c>
      <x:c r="N93" s="14" t="str">
        <x:v>沿用/见变更表</x:v>
      </x:c>
      <x:c r="O93" s="14" t="str">
        <x:v>FX100Keys.sol / Config.sol / registry-v0.3.2.json</x:v>
      </x:c>
    </x:row>
    <x:row r="94">
      <x:c r="A94" s="16" t="n">
        <x:v>93</x:v>
      </x:c>
      <x:c r="B94" s="14" t="str">
        <x:v>常量</x:v>
      </x:c>
      <x:c r="C94" s="14" t="str">
        <x:v>ATOMIC_SWAP_FEE_TYPE</x:v>
      </x:c>
      <x:c r="D94" s="14" t="str">
        <x:v>ATOMIC_SWAP_FEE_TYPE</x:v>
      </x:c>
      <x:c r="E94" s="14" t="str">
        <x:v>ATOMIC_SWAP_FEE_TYPE</x:v>
      </x:c>
      <x:c r="F94" s="14" t="str">
        <x:v>⁠0x0715366437cc1f9a874eb5c6cd8111dcbea3677598c568f8b8d013d6c4380688</x:v>
      </x:c>
      <x:c r="G94" s="14" t="str">
        <x:v>abiEncode</x:v>
      </x:c>
      <x:c r="H94" s="14" t="str"/>
      <x:c r="I94" s="14" t="str"/>
      <x:c r="J94" s="14" t="str">
        <x:v>global/raw</x:v>
      </x:c>
      <x:c r="K94" s="16" t="str">
        <x:v>否</x:v>
      </x:c>
      <x:c r="L94" s="16" t="str">
        <x:v>否</x:v>
      </x:c>
      <x:c r="M94" s="14" t="str">
        <x:v>DataStore 直写(CONTROLLER)</x:v>
      </x:c>
      <x:c r="N94" s="14" t="str">
        <x:v>沿用/见变更表</x:v>
      </x:c>
      <x:c r="O94" s="14" t="str">
        <x:v>FX100Keys.sol / Config.sol / registry-v0.3.2.json</x:v>
      </x:c>
    </x:row>
    <x:row r="95">
      <x:c r="A95" s="16" t="n">
        <x:v>94</x:v>
      </x:c>
      <x:c r="B95" s="14" t="str">
        <x:v>常量</x:v>
      </x:c>
      <x:c r="C95" s="14" t="str">
        <x:v>POSITION_FEE_TYPE</x:v>
      </x:c>
      <x:c r="D95" s="14" t="str">
        <x:v>POSITION_FEE_TYPE</x:v>
      </x:c>
      <x:c r="E95" s="14" t="str">
        <x:v>POSITION_FEE_TYPE</x:v>
      </x:c>
      <x:c r="F95" s="14" t="str">
        <x:v>⁠0x17c8136795f108c881c75741acd4fdd0da0c0490014b2a5478cb0af71af53d39</x:v>
      </x:c>
      <x:c r="G95" s="14" t="str">
        <x:v>abiEncode</x:v>
      </x:c>
      <x:c r="H95" s="14" t="str"/>
      <x:c r="I95" s="14" t="str"/>
      <x:c r="J95" s="14" t="str">
        <x:v>global/raw</x:v>
      </x:c>
      <x:c r="K95" s="16" t="str">
        <x:v>否</x:v>
      </x:c>
      <x:c r="L95" s="16" t="str">
        <x:v>否</x:v>
      </x:c>
      <x:c r="M95" s="14" t="str">
        <x:v>DataStore 直写(CONTROLLER)</x:v>
      </x:c>
      <x:c r="N95" s="14" t="str">
        <x:v>沿用/见变更表</x:v>
      </x:c>
      <x:c r="O95" s="14" t="str">
        <x:v>FX100Keys.sol / Config.sol / registry-v0.3.2.json</x:v>
      </x:c>
    </x:row>
    <x:row r="96">
      <x:c r="A96" s="16" t="n">
        <x:v>95</x:v>
      </x:c>
      <x:c r="B96" s="14" t="str">
        <x:v>常量</x:v>
      </x:c>
      <x:c r="C96" s="14" t="str">
        <x:v>LIQUIDATION_FEE_TYPE</x:v>
      </x:c>
      <x:c r="D96" s="14" t="str">
        <x:v>LIQUIDATION_FEE_TYPE</x:v>
      </x:c>
      <x:c r="E96" s="14" t="str">
        <x:v>LIQUIDATION_FEE_TYPE</x:v>
      </x:c>
      <x:c r="F96" s="14" t="str">
        <x:v>⁠0x48098338b7951548405ae9595f9afca42cef81cb9e62ab7b9197062ac9589916</x:v>
      </x:c>
      <x:c r="G96" s="14" t="str">
        <x:v>abiEncode</x:v>
      </x:c>
      <x:c r="H96" s="14" t="str"/>
      <x:c r="I96" s="14" t="str"/>
      <x:c r="J96" s="14" t="str">
        <x:v>global/raw</x:v>
      </x:c>
      <x:c r="K96" s="16" t="str">
        <x:v>否</x:v>
      </x:c>
      <x:c r="L96" s="16" t="str">
        <x:v>否</x:v>
      </x:c>
      <x:c r="M96" s="14" t="str">
        <x:v>DataStore 直写(CONTROLLER)</x:v>
      </x:c>
      <x:c r="N96" s="14" t="str">
        <x:v>沿用/见变更表</x:v>
      </x:c>
      <x:c r="O96" s="14" t="str">
        <x:v>FX100Keys.sol / Config.sol / registry-v0.3.2.json</x:v>
      </x:c>
    </x:row>
    <x:row r="97">
      <x:c r="A97" s="16" t="n">
        <x:v>96</x:v>
      </x:c>
      <x:c r="B97" s="14" t="str">
        <x:v>常量</x:v>
      </x:c>
      <x:c r="C97" s="14" t="str">
        <x:v>FUNDING_FEE_TYPE</x:v>
      </x:c>
      <x:c r="D97" s="14" t="str">
        <x:v>FUNDING_FEE_TYPE</x:v>
      </x:c>
      <x:c r="E97" s="14" t="str">
        <x:v>FUNDING_FEE_TYPE</x:v>
      </x:c>
      <x:c r="F97" s="14" t="str">
        <x:v>⁠0xaa29290904ae6d2424f8b6d33af3b4e36cab293aae4ff5179e3b31f7b283c298</x:v>
      </x:c>
      <x:c r="G97" s="14" t="str">
        <x:v>abiEncode</x:v>
      </x:c>
      <x:c r="H97" s="14" t="str"/>
      <x:c r="I97" s="14" t="str"/>
      <x:c r="J97" s="14" t="str">
        <x:v>global/raw</x:v>
      </x:c>
      <x:c r="K97" s="16" t="str">
        <x:v>否</x:v>
      </x:c>
      <x:c r="L97" s="16" t="str">
        <x:v>否</x:v>
      </x:c>
      <x:c r="M97" s="14" t="str">
        <x:v>DataStore 直写(CONTROLLER)</x:v>
      </x:c>
      <x:c r="N97" s="14" t="str">
        <x:v>沿用/见变更表</x:v>
      </x:c>
      <x:c r="O97" s="14" t="str">
        <x:v>FX100Keys.sol / Config.sol / registry-v0.3.2.json</x:v>
      </x:c>
    </x:row>
    <x:row r="98">
      <x:c r="A98" s="16" t="n">
        <x:v>97</x:v>
      </x:c>
      <x:c r="B98" s="14" t="str">
        <x:v>常量</x:v>
      </x:c>
      <x:c r="C98" s="14" t="str">
        <x:v>UI_DEPOSIT_FEE_TYPE</x:v>
      </x:c>
      <x:c r="D98" s="14" t="str">
        <x:v>UI_DEPOSIT_FEE_TYPE</x:v>
      </x:c>
      <x:c r="E98" s="14" t="str">
        <x:v>UI_DEPOSIT_FEE_TYPE</x:v>
      </x:c>
      <x:c r="F98" s="14" t="str">
        <x:v>⁠0xa308101ac9839a32932eeff55c751a8c7c7456ddd11032ff2e7f59e511e03e38</x:v>
      </x:c>
      <x:c r="G98" s="14" t="str">
        <x:v>abiEncode</x:v>
      </x:c>
      <x:c r="H98" s="14" t="str"/>
      <x:c r="I98" s="14" t="str"/>
      <x:c r="J98" s="14" t="str">
        <x:v>global/raw</x:v>
      </x:c>
      <x:c r="K98" s="16" t="str">
        <x:v>否</x:v>
      </x:c>
      <x:c r="L98" s="16" t="str">
        <x:v>否</x:v>
      </x:c>
      <x:c r="M98" s="14" t="str">
        <x:v>DataStore 直写(CONTROLLER)</x:v>
      </x:c>
      <x:c r="N98" s="14" t="str">
        <x:v>沿用/见变更表</x:v>
      </x:c>
      <x:c r="O98" s="14" t="str">
        <x:v>FX100Keys.sol / Config.sol / registry-v0.3.2.json</x:v>
      </x:c>
    </x:row>
    <x:row r="99">
      <x:c r="A99" s="16" t="n">
        <x:v>98</x:v>
      </x:c>
      <x:c r="B99" s="14" t="str">
        <x:v>常量</x:v>
      </x:c>
      <x:c r="C99" s="14" t="str">
        <x:v>UI_WITHDRAWAL_FEE_TYPE</x:v>
      </x:c>
      <x:c r="D99" s="14" t="str">
        <x:v>UI_WITHDRAWAL_FEE_TYPE</x:v>
      </x:c>
      <x:c r="E99" s="14" t="str">
        <x:v>UI_WITHDRAWAL_FEE_TYPE</x:v>
      </x:c>
      <x:c r="F99" s="14" t="str">
        <x:v>⁠0x60d9d0628f9ac11173c8fe92ef1b87cb309066b9469b11ea38865c18f9a15779</x:v>
      </x:c>
      <x:c r="G99" s="14" t="str">
        <x:v>abiEncode</x:v>
      </x:c>
      <x:c r="H99" s="14" t="str"/>
      <x:c r="I99" s="14" t="str"/>
      <x:c r="J99" s="14" t="str">
        <x:v>global/raw</x:v>
      </x:c>
      <x:c r="K99" s="16" t="str">
        <x:v>否</x:v>
      </x:c>
      <x:c r="L99" s="16" t="str">
        <x:v>否</x:v>
      </x:c>
      <x:c r="M99" s="14" t="str">
        <x:v>DataStore 直写(CONTROLLER)</x:v>
      </x:c>
      <x:c r="N99" s="14" t="str">
        <x:v>沿用/见变更表</x:v>
      </x:c>
      <x:c r="O99" s="14" t="str">
        <x:v>FX100Keys.sol / Config.sol / registry-v0.3.2.json</x:v>
      </x:c>
    </x:row>
    <x:row r="100">
      <x:c r="A100" s="16" t="n">
        <x:v>99</x:v>
      </x:c>
      <x:c r="B100" s="14" t="str">
        <x:v>常量</x:v>
      </x:c>
      <x:c r="C100" s="14" t="str">
        <x:v>UI_SWAP_FEE_TYPE</x:v>
      </x:c>
      <x:c r="D100" s="14" t="str">
        <x:v>UI_SWAP_FEE_TYPE</x:v>
      </x:c>
      <x:c r="E100" s="14" t="str">
        <x:v>UI_SWAP_FEE_TYPE</x:v>
      </x:c>
      <x:c r="F100" s="14" t="str">
        <x:v>⁠0xa0c3abc09ebd75f64c70f35ac10928fbf25d016b68aec9d0dcafa251f65e1e39</x:v>
      </x:c>
      <x:c r="G100" s="14" t="str">
        <x:v>abiEncode</x:v>
      </x:c>
      <x:c r="H100" s="14" t="str"/>
      <x:c r="I100" s="14" t="str"/>
      <x:c r="J100" s="14" t="str">
        <x:v>global/raw</x:v>
      </x:c>
      <x:c r="K100" s="16" t="str">
        <x:v>否</x:v>
      </x:c>
      <x:c r="L100" s="16" t="str">
        <x:v>否</x:v>
      </x:c>
      <x:c r="M100" s="14" t="str">
        <x:v>DataStore 直写(CONTROLLER)</x:v>
      </x:c>
      <x:c r="N100" s="14" t="str">
        <x:v>沿用/见变更表</x:v>
      </x:c>
      <x:c r="O100" s="14" t="str">
        <x:v>FX100Keys.sol / Config.sol / registry-v0.3.2.json</x:v>
      </x:c>
    </x:row>
    <x:row r="101">
      <x:c r="A101" s="16" t="n">
        <x:v>100</x:v>
      </x:c>
      <x:c r="B101" s="14" t="str">
        <x:v>常量</x:v>
      </x:c>
      <x:c r="C101" s="14" t="str">
        <x:v>UI_POSITION_FEE_TYPE</x:v>
      </x:c>
      <x:c r="D101" s="14" t="str">
        <x:v>UI_POSITION_FEE_TYPE</x:v>
      </x:c>
      <x:c r="E101" s="14" t="str">
        <x:v>UI_POSITION_FEE_TYPE</x:v>
      </x:c>
      <x:c r="F101" s="14" t="str">
        <x:v>⁠0x21bbfc38c54ccf4ce9515f2040d66a101840804b22500ee8c0c1a4cf6777f206</x:v>
      </x:c>
      <x:c r="G101" s="14" t="str">
        <x:v>abiEncode</x:v>
      </x:c>
      <x:c r="H101" s="14" t="str"/>
      <x:c r="I101" s="14" t="str"/>
      <x:c r="J101" s="14" t="str">
        <x:v>global/raw</x:v>
      </x:c>
      <x:c r="K101" s="16" t="str">
        <x:v>否</x:v>
      </x:c>
      <x:c r="L101" s="16" t="str">
        <x:v>否</x:v>
      </x:c>
      <x:c r="M101" s="14" t="str">
        <x:v>DataStore 直写(CONTROLLER)</x:v>
      </x:c>
      <x:c r="N101" s="14" t="str">
        <x:v>沿用/见变更表</x:v>
      </x:c>
      <x:c r="O101" s="14" t="str">
        <x:v>FX100Keys.sol / Config.sol / registry-v0.3.2.json</x:v>
      </x:c>
    </x:row>
    <x:row r="102">
      <x:c r="A102" s="16" t="n">
        <x:v>101</x:v>
      </x:c>
      <x:c r="B102" s="14" t="str">
        <x:v>常量</x:v>
      </x:c>
      <x:c r="C102" s="14" t="str">
        <x:v>UI_FEE_FACTOR</x:v>
      </x:c>
      <x:c r="D102" s="14" t="str">
        <x:v>UI_FEE_FACTOR</x:v>
      </x:c>
      <x:c r="E102" s="14" t="str">
        <x:v>UI_FEE_FACTOR</x:v>
      </x:c>
      <x:c r="F102" s="14" t="str">
        <x:v>⁠0x1183017aa6dc064c15e97f13e90ee4514112c290e234df5a0fc8dbaafe0ccdf8</x:v>
      </x:c>
      <x:c r="G102" s="14" t="str">
        <x:v>abiEncode</x:v>
      </x:c>
      <x:c r="H102" s="14" t="str"/>
      <x:c r="I102" s="14" t="str">
        <x:v>uint</x:v>
      </x:c>
      <x:c r="J102" s="14" t="str">
        <x:v>account</x:v>
      </x:c>
      <x:c r="K102" s="16" t="str">
        <x:v>否</x:v>
      </x:c>
      <x:c r="L102" s="16" t="str">
        <x:v>否</x:v>
      </x:c>
      <x:c r="M102" s="14" t="str">
        <x:v>DataStore 直写(CONTROLLER)</x:v>
      </x:c>
      <x:c r="N102" s="14" t="str">
        <x:v>沿用/见变更表</x:v>
      </x:c>
      <x:c r="O102" s="14" t="str">
        <x:v>FX100Keys.sol / Config.sol / registry-v0.3.2.json</x:v>
      </x:c>
    </x:row>
    <x:row r="103">
      <x:c r="A103" s="16" t="n">
        <x:v>102</x:v>
      </x:c>
      <x:c r="B103" s="14" t="str">
        <x:v>常量</x:v>
      </x:c>
      <x:c r="C103" s="14" t="str">
        <x:v>MAX_UI_FEE_FACTOR</x:v>
      </x:c>
      <x:c r="D103" s="14" t="str">
        <x:v>MAX_UI_FEE_FACTOR</x:v>
      </x:c>
      <x:c r="E103" s="14" t="str">
        <x:v>MAX_UI_FEE_FACTOR</x:v>
      </x:c>
      <x:c r="F103" s="14" t="str">
        <x:v>⁠0xab045c9d202ad7ee7dd9fa7ab3c082d9835872721eaf03397e59b961fe399329</x:v>
      </x:c>
      <x:c r="G103" s="14" t="str">
        <x:v>abiEncode</x:v>
      </x:c>
      <x:c r="H103" s="14" t="str"/>
      <x:c r="I103" s="14" t="str">
        <x:v>uint</x:v>
      </x:c>
      <x:c r="J103" s="14" t="str">
        <x:v>global/raw</x:v>
      </x:c>
      <x:c r="K103" s="16" t="str">
        <x:v>是</x:v>
      </x:c>
      <x:c r="L103" s="16" t="str">
        <x:v>否</x:v>
      </x:c>
      <x:c r="M103" s="14" t="str">
        <x:v>Config(CONFIG_KEEPER)</x:v>
      </x:c>
      <x:c r="N103" s="14" t="str">
        <x:v>沿用/见变更表</x:v>
      </x:c>
      <x:c r="O103" s="14" t="str">
        <x:v>FX100Keys.sol / Config.sol / registry-v0.3.2.json</x:v>
      </x:c>
    </x:row>
    <x:row r="104">
      <x:c r="A104" s="16" t="n">
        <x:v>103</x:v>
      </x:c>
      <x:c r="B104" s="14" t="str">
        <x:v>常量</x:v>
      </x:c>
      <x:c r="C104" s="14" t="str">
        <x:v>CLAIMABLE_FEE_AMOUNT</x:v>
      </x:c>
      <x:c r="D104" s="14" t="str">
        <x:v>CLAIMABLE_FEE_AMOUNT</x:v>
      </x:c>
      <x:c r="E104" s="14" t="str">
        <x:v>CLAIMABLE_FEE_AMOUNT</x:v>
      </x:c>
      <x:c r="F104" s="14" t="str">
        <x:v>⁠0x3bd2b5ccbea0f8e9b4e2fbe367bea6f9c8785b391741b2d29e9d7398a241067e</x:v>
      </x:c>
      <x:c r="G104" s="14" t="str">
        <x:v>abiEncode</x:v>
      </x:c>
      <x:c r="H104" s="14" t="str"/>
      <x:c r="I104" s="14" t="str">
        <x:v>uint</x:v>
      </x:c>
      <x:c r="J104" s="14" t="str">
        <x:v>market + token + feeType</x:v>
      </x:c>
      <x:c r="K104" s="16" t="str">
        <x:v>否</x:v>
      </x:c>
      <x:c r="L104" s="16" t="str">
        <x:v>否</x:v>
      </x:c>
      <x:c r="M104" s="14" t="str">
        <x:v>DataStore 直写(CONTROLLER)</x:v>
      </x:c>
      <x:c r="N104" s="14" t="str">
        <x:v>沿用/见变更表</x:v>
      </x:c>
      <x:c r="O104" s="14" t="str">
        <x:v>FX100Keys.sol / Config.sol / registry-v0.3.2.json</x:v>
      </x:c>
    </x:row>
    <x:row r="105">
      <x:c r="A105" s="16" t="n">
        <x:v>104</x:v>
      </x:c>
      <x:c r="B105" s="14" t="str">
        <x:v>常量</x:v>
      </x:c>
      <x:c r="C105" s="14" t="str">
        <x:v>CLAIMABLE_UI_FEE_AMOUNT</x:v>
      </x:c>
      <x:c r="D105" s="14" t="str">
        <x:v>CLAIMABLE_UI_FEE_AMOUNT</x:v>
      </x:c>
      <x:c r="E105" s="14" t="str">
        <x:v>CLAIMABLE_UI_FEE_AMOUNT</x:v>
      </x:c>
      <x:c r="F105" s="14" t="str">
        <x:v>⁠0xe7a0ab2794e2f361a6b85aa6f73b733613c1ca25a0a0ecc02516871050defbbc</x:v>
      </x:c>
      <x:c r="G105" s="14" t="str">
        <x:v>abiEncode</x:v>
      </x:c>
      <x:c r="H105" s="14" t="str"/>
      <x:c r="I105" s="14" t="str"/>
      <x:c r="J105" s="14" t="str">
        <x:v>market + token + account</x:v>
      </x:c>
      <x:c r="K105" s="16" t="str">
        <x:v>否</x:v>
      </x:c>
      <x:c r="L105" s="16" t="str">
        <x:v>否</x:v>
      </x:c>
      <x:c r="M105" s="14" t="str">
        <x:v>DataStore 直写(CONTROLLER)</x:v>
      </x:c>
      <x:c r="N105" s="14" t="str">
        <x:v>沿用/见变更表</x:v>
      </x:c>
      <x:c r="O105" s="14" t="str">
        <x:v>FX100Keys.sol / Config.sol / registry-v0.3.2.json</x:v>
      </x:c>
    </x:row>
    <x:row r="106">
      <x:c r="A106" s="16" t="n">
        <x:v>105</x:v>
      </x:c>
      <x:c r="B106" s="14" t="str">
        <x:v>常量</x:v>
      </x:c>
      <x:c r="C106" s="14" t="str">
        <x:v>MAX_AUTO_CANCEL_ORDERS</x:v>
      </x:c>
      <x:c r="D106" s="14" t="str">
        <x:v>MAX_AUTO_CANCEL_ORDERS</x:v>
      </x:c>
      <x:c r="E106" s="14" t="str">
        <x:v>MAX_AUTO_CANCEL_ORDERS</x:v>
      </x:c>
      <x:c r="F106" s="14" t="str">
        <x:v>⁠0xef2fbe4143b9a96a7ea63d505c1a2113ad28c3698479c1a47d0f3bb2317476ec</x:v>
      </x:c>
      <x:c r="G106" s="14" t="str">
        <x:v>abiEncode</x:v>
      </x:c>
      <x:c r="H106" s="14" t="str"/>
      <x:c r="I106" s="14" t="str">
        <x:v>uint</x:v>
      </x:c>
      <x:c r="J106" s="14" t="str">
        <x:v>global/raw</x:v>
      </x:c>
      <x:c r="K106" s="16" t="str">
        <x:v>是</x:v>
      </x:c>
      <x:c r="L106" s="16" t="str">
        <x:v>否</x:v>
      </x:c>
      <x:c r="M106" s="14" t="str">
        <x:v>Config(CONFIG_KEEPER)</x:v>
      </x:c>
      <x:c r="N106" s="14" t="str">
        <x:v>沿用/见变更表</x:v>
      </x:c>
      <x:c r="O106" s="14" t="str">
        <x:v>FX100Keys.sol / Config.sol / registry-v0.3.2.json</x:v>
      </x:c>
    </x:row>
    <x:row r="107">
      <x:c r="A107" s="16" t="n">
        <x:v>106</x:v>
      </x:c>
      <x:c r="B107" s="14" t="str">
        <x:v>常量</x:v>
      </x:c>
      <x:c r="C107" s="14" t="str">
        <x:v>MAX_TOTAL_CALLBACK_GAS_LIMIT_FOR_AUTO_CANCEL_ORDERS</x:v>
      </x:c>
      <x:c r="D107" s="14" t="str">
        <x:v>MAX_TOTAL_CALLBACK_GAS_LIMIT_FOR_AUTO_CANCEL_ORDERS</x:v>
      </x:c>
      <x:c r="E107" s="14" t="str">
        <x:v>MAX_TOTAL_CALLBACK_GAS_LIMIT_FOR_AUTO_CANCEL_ORDERS</x:v>
      </x:c>
      <x:c r="F107" s="14" t="str">
        <x:v>⁠0xcd2f7ab10b6b4b1c3d84f3930c725280715c9c6fe1d9a80fe152b989578a3b90</x:v>
      </x:c>
      <x:c r="G107" s="14" t="str">
        <x:v>abiEncode</x:v>
      </x:c>
      <x:c r="H107" s="14" t="str"/>
      <x:c r="I107" s="14" t="str">
        <x:v>uint</x:v>
      </x:c>
      <x:c r="J107" s="14" t="str">
        <x:v>global/raw</x:v>
      </x:c>
      <x:c r="K107" s="16" t="str">
        <x:v>是</x:v>
      </x:c>
      <x:c r="L107" s="16" t="str">
        <x:v>否</x:v>
      </x:c>
      <x:c r="M107" s="14" t="str">
        <x:v>Config(CONFIG_KEEPER)</x:v>
      </x:c>
      <x:c r="N107" s="14" t="str">
        <x:v>沿用/见变更表</x:v>
      </x:c>
      <x:c r="O107" s="14" t="str">
        <x:v>FX100Keys.sol / Config.sol / registry-v0.3.2.json</x:v>
      </x:c>
    </x:row>
    <x:row r="108">
      <x:c r="A108" s="16" t="n">
        <x:v>107</x:v>
      </x:c>
      <x:c r="B108" s="14" t="str">
        <x:v>常量</x:v>
      </x:c>
      <x:c r="C108" s="14" t="str">
        <x:v>FEE_BATCH_LIST</x:v>
      </x:c>
      <x:c r="D108" s="14" t="str">
        <x:v>FEE_BATCH_LIST</x:v>
      </x:c>
      <x:c r="E108" s="14" t="str">
        <x:v>FEE_BATCH_LIST</x:v>
      </x:c>
      <x:c r="F108" s="14" t="str">
        <x:v>⁠0xdf957bfb795e04b40bd7651b04bd206232954ea0229a9ca477c8a1180aac71c4</x:v>
      </x:c>
      <x:c r="G108" s="14" t="str">
        <x:v>abiEncode</x:v>
      </x:c>
      <x:c r="H108" s="14" t="str"/>
      <x:c r="I108" s="14" t="str"/>
      <x:c r="J108" s="14" t="str">
        <x:v>global/raw</x:v>
      </x:c>
      <x:c r="K108" s="16" t="str">
        <x:v>否</x:v>
      </x:c>
      <x:c r="L108" s="16" t="str">
        <x:v>否</x:v>
      </x:c>
      <x:c r="M108" s="14" t="str">
        <x:v>DataStore 直写(CONTROLLER)</x:v>
      </x:c>
      <x:c r="N108" s="14" t="str">
        <x:v>沿用/见变更表</x:v>
      </x:c>
      <x:c r="O108" s="14" t="str">
        <x:v>FX100Keys.sol / Config.sol / registry-v0.3.2.json</x:v>
      </x:c>
    </x:row>
    <x:row r="109">
      <x:c r="A109" s="16" t="n">
        <x:v>108</x:v>
      </x:c>
      <x:c r="B109" s="14" t="str">
        <x:v>常量</x:v>
      </x:c>
      <x:c r="C109" s="14" t="str">
        <x:v>DEPOSIT_LIST</x:v>
      </x:c>
      <x:c r="D109" s="14" t="str">
        <x:v>DEPOSIT_LIST</x:v>
      </x:c>
      <x:c r="E109" s="14" t="str">
        <x:v>DEPOSIT_LIST</x:v>
      </x:c>
      <x:c r="F109" s="14" t="str">
        <x:v>⁠0x2166c7343d4ca73a6399ca8425e6490d3b231faf254a8d6773d80b449fab46a3</x:v>
      </x:c>
      <x:c r="G109" s="14" t="str">
        <x:v>abiEncode</x:v>
      </x:c>
      <x:c r="H109" s="14" t="str"/>
      <x:c r="I109" s="14" t="str"/>
      <x:c r="J109" s="14" t="str">
        <x:v>global/raw</x:v>
      </x:c>
      <x:c r="K109" s="16" t="str">
        <x:v>否</x:v>
      </x:c>
      <x:c r="L109" s="16" t="str">
        <x:v>否</x:v>
      </x:c>
      <x:c r="M109" s="14" t="str">
        <x:v>DataStore 直写(CONTROLLER)</x:v>
      </x:c>
      <x:c r="N109" s="14" t="str">
        <x:v>沿用/见变更表</x:v>
      </x:c>
      <x:c r="O109" s="14" t="str">
        <x:v>FX100Keys.sol / Config.sol / registry-v0.3.2.json</x:v>
      </x:c>
    </x:row>
    <x:row r="110">
      <x:c r="A110" s="16" t="n">
        <x:v>109</x:v>
      </x:c>
      <x:c r="B110" s="14" t="str">
        <x:v>常量</x:v>
      </x:c>
      <x:c r="C110" s="14" t="str">
        <x:v>ACCOUNT_DEPOSIT_LIST</x:v>
      </x:c>
      <x:c r="D110" s="14" t="str">
        <x:v>ACCOUNT_DEPOSIT_LIST</x:v>
      </x:c>
      <x:c r="E110" s="14" t="str">
        <x:v>ACCOUNT_DEPOSIT_LIST</x:v>
      </x:c>
      <x:c r="F110" s="14" t="str">
        <x:v>⁠0x5c404a055e2d503b33a9fa5a337346721237b9c31ea651df0abc84ef82a0eaeb</x:v>
      </x:c>
      <x:c r="G110" s="14" t="str">
        <x:v>abiEncode</x:v>
      </x:c>
      <x:c r="H110" s="14" t="str"/>
      <x:c r="I110" s="14" t="str"/>
      <x:c r="J110" s="14" t="str">
        <x:v>account</x:v>
      </x:c>
      <x:c r="K110" s="16" t="str">
        <x:v>否</x:v>
      </x:c>
      <x:c r="L110" s="16" t="str">
        <x:v>否</x:v>
      </x:c>
      <x:c r="M110" s="14" t="str">
        <x:v>DataStore 直写(CONTROLLER)</x:v>
      </x:c>
      <x:c r="N110" s="14" t="str">
        <x:v>沿用/见变更表</x:v>
      </x:c>
      <x:c r="O110" s="14" t="str">
        <x:v>FX100Keys.sol / Config.sol / registry-v0.3.2.json</x:v>
      </x:c>
    </x:row>
    <x:row r="111">
      <x:c r="A111" s="16" t="n">
        <x:v>110</x:v>
      </x:c>
      <x:c r="B111" s="14" t="str">
        <x:v>常量</x:v>
      </x:c>
      <x:c r="C111" s="14" t="str">
        <x:v>WITHDRAWAL_LIST</x:v>
      </x:c>
      <x:c r="D111" s="14" t="str">
        <x:v>WITHDRAWAL_LIST</x:v>
      </x:c>
      <x:c r="E111" s="14" t="str">
        <x:v>WITHDRAWAL_LIST</x:v>
      </x:c>
      <x:c r="F111" s="14" t="str">
        <x:v>⁠0xa0e12a7533998e22054310527710129373aaf51361c57ff86c1d9cda91267d87</x:v>
      </x:c>
      <x:c r="G111" s="14" t="str">
        <x:v>abiEncode</x:v>
      </x:c>
      <x:c r="H111" s="14" t="str"/>
      <x:c r="I111" s="14" t="str"/>
      <x:c r="J111" s="14" t="str">
        <x:v>global/raw</x:v>
      </x:c>
      <x:c r="K111" s="16" t="str">
        <x:v>否</x:v>
      </x:c>
      <x:c r="L111" s="16" t="str">
        <x:v>否</x:v>
      </x:c>
      <x:c r="M111" s="14" t="str">
        <x:v>DataStore 直写(CONTROLLER)</x:v>
      </x:c>
      <x:c r="N111" s="14" t="str">
        <x:v>沿用/见变更表</x:v>
      </x:c>
      <x:c r="O111" s="14" t="str">
        <x:v>FX100Keys.sol / Config.sol / registry-v0.3.2.json</x:v>
      </x:c>
    </x:row>
    <x:row r="112">
      <x:c r="A112" s="16" t="n">
        <x:v>111</x:v>
      </x:c>
      <x:c r="B112" s="14" t="str">
        <x:v>常量</x:v>
      </x:c>
      <x:c r="C112" s="14" t="str">
        <x:v>ACCOUNT_WITHDRAWAL_LIST</x:v>
      </x:c>
      <x:c r="D112" s="14" t="str">
        <x:v>ACCOUNT_WITHDRAWAL_LIST</x:v>
      </x:c>
      <x:c r="E112" s="14" t="str">
        <x:v>ACCOUNT_WITHDRAWAL_LIST</x:v>
      </x:c>
      <x:c r="F112" s="14" t="str">
        <x:v>⁠0x5b5e71ec5b2596db39cdab2c176be7b71fddeeed8af808914bac78e71af7c04f</x:v>
      </x:c>
      <x:c r="G112" s="14" t="str">
        <x:v>abiEncode</x:v>
      </x:c>
      <x:c r="H112" s="14" t="str"/>
      <x:c r="I112" s="14" t="str"/>
      <x:c r="J112" s="14" t="str">
        <x:v>account</x:v>
      </x:c>
      <x:c r="K112" s="16" t="str">
        <x:v>否</x:v>
      </x:c>
      <x:c r="L112" s="16" t="str">
        <x:v>否</x:v>
      </x:c>
      <x:c r="M112" s="14" t="str">
        <x:v>DataStore 直写(CONTROLLER)</x:v>
      </x:c>
      <x:c r="N112" s="14" t="str">
        <x:v>沿用/见变更表</x:v>
      </x:c>
      <x:c r="O112" s="14" t="str">
        <x:v>FX100Keys.sol / Config.sol / registry-v0.3.2.json</x:v>
      </x:c>
    </x:row>
    <x:row r="113">
      <x:c r="A113" s="16" t="n">
        <x:v>112</x:v>
      </x:c>
      <x:c r="B113" s="14" t="str">
        <x:v>常量</x:v>
      </x:c>
      <x:c r="C113" s="14" t="str">
        <x:v>SUBACCOUNT_SLOT</x:v>
      </x:c>
      <x:c r="D113" s="14" t="str">
        <x:v>SUBACCOUNT_SLOT</x:v>
      </x:c>
      <x:c r="E113" s="14" t="str">
        <x:v>SUBACCOUNT_SLOT</x:v>
      </x:c>
      <x:c r="F113" s="14" t="str">
        <x:v>⁠0xbaed0d64d6332468e2f8952d4bdff555e6c48f9a99bb984c541ef685b97dfa8a</x:v>
      </x:c>
      <x:c r="G113" s="14" t="str">
        <x:v>abiEncode</x:v>
      </x:c>
      <x:c r="H113" s="14" t="str"/>
      <x:c r="I113" s="14" t="str">
        <x:v>string</x:v>
      </x:c>
      <x:c r="J113" s="14" t="str">
        <x:v>account + index</x:v>
      </x:c>
      <x:c r="K113" s="16" t="str">
        <x:v>否</x:v>
      </x:c>
      <x:c r="L113" s="16" t="str">
        <x:v>否</x:v>
      </x:c>
      <x:c r="M113" s="14" t="str">
        <x:v>DataStore 直写(CONTROLLER)</x:v>
      </x:c>
      <x:c r="N113" s="14" t="str">
        <x:v>v0.3.2 新增</x:v>
      </x:c>
      <x:c r="O113" s="14" t="str">
        <x:v>FX100Keys.sol / Config.sol / registry-v0.3.2.json</x:v>
      </x:c>
    </x:row>
    <x:row r="114">
      <x:c r="A114" s="16" t="n">
        <x:v>113</x:v>
      </x:c>
      <x:c r="B114" s="14" t="str">
        <x:v>常量</x:v>
      </x:c>
      <x:c r="C114" s="14" t="str">
        <x:v>SUBACCOUNT_SLOT_SUBACCOUNT</x:v>
      </x:c>
      <x:c r="D114" s="14" t="str">
        <x:v>SUBACCOUNT_SLOT_SUBACCOUNT</x:v>
      </x:c>
      <x:c r="E114" s="14" t="str">
        <x:v>SUBACCOUNT_SLOT_SUBACCOUNT</x:v>
      </x:c>
      <x:c r="F114" s="14" t="str">
        <x:v>⁠0x82af402493f1bdb0017b8db6dd413201d6b031270316f7042708921f552f15de</x:v>
      </x:c>
      <x:c r="G114" s="14" t="str">
        <x:v>abiEncode</x:v>
      </x:c>
      <x:c r="H114" s="14" t="str"/>
      <x:c r="I114" s="14" t="str">
        <x:v>address</x:v>
      </x:c>
      <x:c r="J114" s="14" t="str">
        <x:v>account + index</x:v>
      </x:c>
      <x:c r="K114" s="16" t="str">
        <x:v>否</x:v>
      </x:c>
      <x:c r="L114" s="16" t="str">
        <x:v>否</x:v>
      </x:c>
      <x:c r="M114" s="14" t="str">
        <x:v>DataStore 直写(CONTROLLER)</x:v>
      </x:c>
      <x:c r="N114" s="14" t="str">
        <x:v>v0.3.2 新增</x:v>
      </x:c>
      <x:c r="O114" s="14" t="str">
        <x:v>FX100Keys.sol / Config.sol / registry-v0.3.2.json</x:v>
      </x:c>
    </x:row>
    <x:row r="115">
      <x:c r="A115" s="16" t="n">
        <x:v>114</x:v>
      </x:c>
      <x:c r="B115" s="14" t="str">
        <x:v>常量</x:v>
      </x:c>
      <x:c r="C115" s="14" t="str">
        <x:v>SUBACCOUNT_SLOT_ACTIVE</x:v>
      </x:c>
      <x:c r="D115" s="14" t="str">
        <x:v>SUBACCOUNT_SLOT_ACTIVE</x:v>
      </x:c>
      <x:c r="E115" s="14" t="str">
        <x:v>SUBACCOUNT_SLOT_ACTIVE</x:v>
      </x:c>
      <x:c r="F115" s="14" t="str">
        <x:v>⁠0xde45bd5a8975dab0f3d5e2ea12100f33165b0197408d0dcca8d7094d03c541ed</x:v>
      </x:c>
      <x:c r="G115" s="14" t="str">
        <x:v>abiEncode</x:v>
      </x:c>
      <x:c r="H115" s="14" t="str"/>
      <x:c r="I115" s="14" t="str">
        <x:v>bool</x:v>
      </x:c>
      <x:c r="J115" s="14" t="str">
        <x:v>account + index</x:v>
      </x:c>
      <x:c r="K115" s="16" t="str">
        <x:v>否</x:v>
      </x:c>
      <x:c r="L115" s="16" t="str">
        <x:v>否</x:v>
      </x:c>
      <x:c r="M115" s="14" t="str">
        <x:v>DataStore 直写(CONTROLLER)</x:v>
      </x:c>
      <x:c r="N115" s="14" t="str">
        <x:v>v0.3.2 新增</x:v>
      </x:c>
      <x:c r="O115" s="14" t="str">
        <x:v>FX100Keys.sol / Config.sol / registry-v0.3.2.json</x:v>
      </x:c>
    </x:row>
    <x:row r="116">
      <x:c r="A116" s="16" t="n">
        <x:v>115</x:v>
      </x:c>
      <x:c r="B116" s="14" t="str">
        <x:v>常量</x:v>
      </x:c>
      <x:c r="C116" s="14" t="str">
        <x:v>AUTO_CANCEL_ORDER_LIST</x:v>
      </x:c>
      <x:c r="D116" s="14" t="str">
        <x:v>AUTO_CANCEL_ORDER_LIST</x:v>
      </x:c>
      <x:c r="E116" s="14" t="str">
        <x:v>AUTO_CANCEL_ORDER_LIST</x:v>
      </x:c>
      <x:c r="F116" s="14" t="str">
        <x:v>⁠0xc52850ea977ceeb31a6fec609fc6450d66dbe30e1b9c1f6f3ce549921200026f</x:v>
      </x:c>
      <x:c r="G116" s="14" t="str">
        <x:v>abiEncode</x:v>
      </x:c>
      <x:c r="H116" s="14" t="str"/>
      <x:c r="I116" s="14" t="str">
        <x:v>bytes32</x:v>
      </x:c>
      <x:c r="J116" s="14" t="str">
        <x:v>positionKey</x:v>
      </x:c>
      <x:c r="K116" s="16" t="str">
        <x:v>否</x:v>
      </x:c>
      <x:c r="L116" s="16" t="str">
        <x:v>否</x:v>
      </x:c>
      <x:c r="M116" s="14" t="str">
        <x:v>DataStore 直写(CONTROLLER)</x:v>
      </x:c>
      <x:c r="N116" s="14" t="str">
        <x:v>沿用/见变更表</x:v>
      </x:c>
      <x:c r="O116" s="14" t="str">
        <x:v>FX100Keys.sol / Config.sol / registry-v0.3.2.json</x:v>
      </x:c>
    </x:row>
    <x:row r="117">
      <x:c r="A117" s="16" t="n">
        <x:v>116</x:v>
      </x:c>
      <x:c r="B117" s="14" t="str">
        <x:v>常量</x:v>
      </x:c>
      <x:c r="C117" s="14" t="str">
        <x:v>IS_MARKET_DISABLED</x:v>
      </x:c>
      <x:c r="D117" s="14" t="str">
        <x:v>IS_MARKET_DISABLED</x:v>
      </x:c>
      <x:c r="E117" s="14" t="str">
        <x:v>IS_MARKET_DISABLED</x:v>
      </x:c>
      <x:c r="F117" s="14" t="str">
        <x:v>⁠0x5c27e8a9fa01145fb01eb80b81db2eab7e57bc33d109d6a64315239a65ce4d36</x:v>
      </x:c>
      <x:c r="G117" s="14" t="str">
        <x:v>abiEncode</x:v>
      </x:c>
      <x:c r="H117" s="14" t="str"/>
      <x:c r="I117" s="14" t="str">
        <x:v>bool</x:v>
      </x:c>
      <x:c r="J117" s="14" t="str">
        <x:v>market</x:v>
      </x:c>
      <x:c r="K117" s="16" t="str">
        <x:v>是</x:v>
      </x:c>
      <x:c r="L117" s="16" t="str">
        <x:v>否</x:v>
      </x:c>
      <x:c r="M117" s="14" t="str">
        <x:v>Config(CONFIG_KEEPER)</x:v>
      </x:c>
      <x:c r="N117" s="14" t="str">
        <x:v>沿用/见变更表</x:v>
      </x:c>
      <x:c r="O117" s="14" t="str">
        <x:v>FX100Keys.sol / Config.sol / registry-v0.3.2.json</x:v>
      </x:c>
    </x:row>
    <x:row r="118">
      <x:c r="A118" s="16" t="n">
        <x:v>117</x:v>
      </x:c>
      <x:c r="B118" s="14" t="str">
        <x:v>常量</x:v>
      </x:c>
      <x:c r="C118" s="14" t="str">
        <x:v>MAX_SWAP_PATH_LENGTH</x:v>
      </x:c>
      <x:c r="D118" s="14" t="str">
        <x:v>MAX_SWAP_PATH_LENGTH</x:v>
      </x:c>
      <x:c r="E118" s="14" t="str">
        <x:v>MAX_SWAP_PATH_LENGTH</x:v>
      </x:c>
      <x:c r="F118" s="14" t="str">
        <x:v>⁠0x697374e09b9871325e5d5460167aebba9af368415fa1cb61cdc4c240f18834cf</x:v>
      </x:c>
      <x:c r="G118" s="14" t="str">
        <x:v>abiEncode</x:v>
      </x:c>
      <x:c r="H118" s="14" t="str"/>
      <x:c r="I118" s="14" t="str"/>
      <x:c r="J118" s="14" t="str">
        <x:v>global/raw</x:v>
      </x:c>
      <x:c r="K118" s="16" t="str">
        <x:v>是</x:v>
      </x:c>
      <x:c r="L118" s="16" t="str">
        <x:v>否</x:v>
      </x:c>
      <x:c r="M118" s="14" t="str">
        <x:v>Config(CONFIG_KEEPER)</x:v>
      </x:c>
      <x:c r="N118" s="14" t="str">
        <x:v>沿用/见变更表</x:v>
      </x:c>
      <x:c r="O118" s="14" t="str">
        <x:v>FX100Keys.sol / Config.sol / registry-v0.3.2.json</x:v>
      </x:c>
    </x:row>
    <x:row r="119">
      <x:c r="A119" s="16" t="n">
        <x:v>118</x:v>
      </x:c>
      <x:c r="B119" s="14" t="str">
        <x:v>常量</x:v>
      </x:c>
      <x:c r="C119" s="14" t="str">
        <x:v>SWAP_PATH_MARKET_FLAG</x:v>
      </x:c>
      <x:c r="D119" s="14" t="str">
        <x:v>SWAP_PATH_MARKET_FLAG</x:v>
      </x:c>
      <x:c r="E119" s="14" t="str">
        <x:v>SWAP_PATH_MARKET_FLAG</x:v>
      </x:c>
      <x:c r="F119" s="14" t="str">
        <x:v>⁠0x2ed33e43d724277bf1f10d89be120217e15b562765ff490361cce3c80dbdd55d</x:v>
      </x:c>
      <x:c r="G119" s="14" t="str">
        <x:v>abiEncode</x:v>
      </x:c>
      <x:c r="H119" s="14" t="str"/>
      <x:c r="I119" s="14" t="str"/>
      <x:c r="J119" s="14" t="str">
        <x:v>market</x:v>
      </x:c>
      <x:c r="K119" s="16" t="str">
        <x:v>否</x:v>
      </x:c>
      <x:c r="L119" s="16" t="str">
        <x:v>否</x:v>
      </x:c>
      <x:c r="M119" s="14" t="str">
        <x:v>DataStore 直写(CONTROLLER)</x:v>
      </x:c>
      <x:c r="N119" s="14" t="str">
        <x:v>沿用/见变更表</x:v>
      </x:c>
      <x:c r="O119" s="14" t="str">
        <x:v>FX100Keys.sol / Config.sol / registry-v0.3.2.json</x:v>
      </x:c>
    </x:row>
    <x:row r="120">
      <x:c r="A120" s="16" t="n">
        <x:v>119</x:v>
      </x:c>
      <x:c r="B120" s="14" t="str">
        <x:v>常量</x:v>
      </x:c>
      <x:c r="C120" s="14" t="str">
        <x:v>MIN_MARKET_TOKENS_FOR_FIRST_DEPOSIT</x:v>
      </x:c>
      <x:c r="D120" s="14" t="str">
        <x:v>MIN_MARKET_TOKENS_FOR_FIRST_DEPOSIT</x:v>
      </x:c>
      <x:c r="E120" s="14" t="str">
        <x:v>MIN_MARKET_TOKENS_FOR_FIRST_DEPOSIT</x:v>
      </x:c>
      <x:c r="F120" s="14" t="str">
        <x:v>⁠0x06f004b4c4aa31a1e9c9e7616a63eaa524b6ab79241c7de824ccd57daed7241e</x:v>
      </x:c>
      <x:c r="G120" s="14" t="str">
        <x:v>abiEncode</x:v>
      </x:c>
      <x:c r="H120" s="14" t="str"/>
      <x:c r="I120" s="14" t="str"/>
      <x:c r="J120" s="14" t="str">
        <x:v>market</x:v>
      </x:c>
      <x:c r="K120" s="16" t="str">
        <x:v>是</x:v>
      </x:c>
      <x:c r="L120" s="16" t="str">
        <x:v>否</x:v>
      </x:c>
      <x:c r="M120" s="14" t="str">
        <x:v>Config(CONFIG_KEEPER)</x:v>
      </x:c>
      <x:c r="N120" s="14" t="str">
        <x:v>沿用/见变更表</x:v>
      </x:c>
      <x:c r="O120" s="14" t="str">
        <x:v>FX100Keys.sol / Config.sol / registry-v0.3.2.json</x:v>
      </x:c>
    </x:row>
    <x:row r="121">
      <x:c r="A121" s="16" t="n">
        <x:v>120</x:v>
      </x:c>
      <x:c r="B121" s="14" t="str">
        <x:v>常量</x:v>
      </x:c>
      <x:c r="C121" s="14" t="str">
        <x:v>JIT_FEATURE_DISABLED</x:v>
      </x:c>
      <x:c r="D121" s="14" t="str">
        <x:v>JIT_FEATURE_DISABLED</x:v>
      </x:c>
      <x:c r="E121" s="14" t="str">
        <x:v>JIT_FEATURE_DISABLED</x:v>
      </x:c>
      <x:c r="F121" s="14" t="str">
        <x:v>⁠0x64948eb1ac738fbe50fdcd909aab194f09306ed94cb65a6a488174d59e56b03c</x:v>
      </x:c>
      <x:c r="G121" s="14" t="str">
        <x:v>abiEncode</x:v>
      </x:c>
      <x:c r="H121" s="14" t="str"/>
      <x:c r="I121" s="14" t="str">
        <x:v>bool</x:v>
      </x:c>
      <x:c r="J121" s="14" t="str">
        <x:v>module</x:v>
      </x:c>
      <x:c r="K121" s="16" t="str">
        <x:v>是</x:v>
      </x:c>
      <x:c r="L121" s="16" t="str">
        <x:v>否</x:v>
      </x:c>
      <x:c r="M121" s="14" t="str">
        <x:v>Config(CONFIG_KEEPER)</x:v>
      </x:c>
      <x:c r="N121" s="14" t="str">
        <x:v>沿用/见变更表</x:v>
      </x:c>
      <x:c r="O121" s="14" t="str">
        <x:v>FX100Keys.sol / Config.sol / registry-v0.3.2.json</x:v>
      </x:c>
    </x:row>
    <x:row r="122">
      <x:c r="A122" s="16" t="n">
        <x:v>121</x:v>
      </x:c>
      <x:c r="B122" s="14" t="str">
        <x:v>常量</x:v>
      </x:c>
      <x:c r="C122" s="14" t="str">
        <x:v>CREATE_DEPOSIT_FEATURE_DISABLED</x:v>
      </x:c>
      <x:c r="D122" s="14" t="str">
        <x:v>CREATE_DEPOSIT_FEATURE_DISABLED</x:v>
      </x:c>
      <x:c r="E122" s="14" t="str">
        <x:v>CREATE_DEPOSIT_FEATURE_DISABLED</x:v>
      </x:c>
      <x:c r="F122" s="14" t="str">
        <x:v>⁠0xc5cacb613df586e878c919ccc5ad563c4f845cc648c1578c456592840135cfdf</x:v>
      </x:c>
      <x:c r="G122" s="14" t="str">
        <x:v>abiEncode</x:v>
      </x:c>
      <x:c r="H122" s="14" t="str"/>
      <x:c r="I122" s="14" t="str">
        <x:v>bool</x:v>
      </x:c>
      <x:c r="J122" s="14" t="str">
        <x:v>module</x:v>
      </x:c>
      <x:c r="K122" s="16" t="str">
        <x:v>是</x:v>
      </x:c>
      <x:c r="L122" s="16" t="str">
        <x:v>否</x:v>
      </x:c>
      <x:c r="M122" s="14" t="str">
        <x:v>Config(CONFIG_KEEPER)</x:v>
      </x:c>
      <x:c r="N122" s="14" t="str">
        <x:v>沿用/见变更表</x:v>
      </x:c>
      <x:c r="O122" s="14" t="str">
        <x:v>FX100Keys.sol / Config.sol / registry-v0.3.2.json</x:v>
      </x:c>
    </x:row>
    <x:row r="123">
      <x:c r="A123" s="16" t="n">
        <x:v>122</x:v>
      </x:c>
      <x:c r="B123" s="14" t="str">
        <x:v>常量</x:v>
      </x:c>
      <x:c r="C123" s="14" t="str">
        <x:v>CANCEL_DEPOSIT_FEATURE_DISABLED</x:v>
      </x:c>
      <x:c r="D123" s="14" t="str">
        <x:v>CANCEL_DEPOSIT_FEATURE_DISABLED</x:v>
      </x:c>
      <x:c r="E123" s="14" t="str">
        <x:v>CANCEL_DEPOSIT_FEATURE_DISABLED</x:v>
      </x:c>
      <x:c r="F123" s="14" t="str">
        <x:v>⁠0xa06d534b39db63273958e322a4586ce53c49655c54f5ec540388590401d5fb8c</x:v>
      </x:c>
      <x:c r="G123" s="14" t="str">
        <x:v>abiEncode</x:v>
      </x:c>
      <x:c r="H123" s="14" t="str"/>
      <x:c r="I123" s="14" t="str">
        <x:v>bool</x:v>
      </x:c>
      <x:c r="J123" s="14" t="str">
        <x:v>module</x:v>
      </x:c>
      <x:c r="K123" s="16" t="str">
        <x:v>是</x:v>
      </x:c>
      <x:c r="L123" s="16" t="str">
        <x:v>否</x:v>
      </x:c>
      <x:c r="M123" s="14" t="str">
        <x:v>Config(CONFIG_KEEPER)</x:v>
      </x:c>
      <x:c r="N123" s="14" t="str">
        <x:v>沿用/见变更表</x:v>
      </x:c>
      <x:c r="O123" s="14" t="str">
        <x:v>FX100Keys.sol / Config.sol / registry-v0.3.2.json</x:v>
      </x:c>
    </x:row>
    <x:row r="124">
      <x:c r="A124" s="16" t="n">
        <x:v>123</x:v>
      </x:c>
      <x:c r="B124" s="14" t="str">
        <x:v>常量</x:v>
      </x:c>
      <x:c r="C124" s="14" t="str">
        <x:v>EXECUTE_DEPOSIT_FEATURE_DISABLED</x:v>
      </x:c>
      <x:c r="D124" s="14" t="str">
        <x:v>EXECUTE_DEPOSIT_FEATURE_DISABLED</x:v>
      </x:c>
      <x:c r="E124" s="14" t="str">
        <x:v>EXECUTE_DEPOSIT_FEATURE_DISABLED</x:v>
      </x:c>
      <x:c r="F124" s="14" t="str">
        <x:v>⁠0x6edfeba9580660b02e67971e2da73a60ce860b5effa111c559ee69a417df58ed</x:v>
      </x:c>
      <x:c r="G124" s="14" t="str">
        <x:v>abiEncode</x:v>
      </x:c>
      <x:c r="H124" s="14" t="str"/>
      <x:c r="I124" s="14" t="str">
        <x:v>bool</x:v>
      </x:c>
      <x:c r="J124" s="14" t="str">
        <x:v>module</x:v>
      </x:c>
      <x:c r="K124" s="16" t="str">
        <x:v>是</x:v>
      </x:c>
      <x:c r="L124" s="16" t="str">
        <x:v>否</x:v>
      </x:c>
      <x:c r="M124" s="14" t="str">
        <x:v>Config(CONFIG_KEEPER)</x:v>
      </x:c>
      <x:c r="N124" s="14" t="str">
        <x:v>沿用/见变更表</x:v>
      </x:c>
      <x:c r="O124" s="14" t="str">
        <x:v>FX100Keys.sol / Config.sol / registry-v0.3.2.json</x:v>
      </x:c>
    </x:row>
    <x:row r="125">
      <x:c r="A125" s="16" t="n">
        <x:v>124</x:v>
      </x:c>
      <x:c r="B125" s="14" t="str">
        <x:v>常量</x:v>
      </x:c>
      <x:c r="C125" s="14" t="str">
        <x:v>CREATE_WITHDRAWAL_FEATURE_DISABLED</x:v>
      </x:c>
      <x:c r="D125" s="14" t="str">
        <x:v>CREATE_WITHDRAWAL_FEATURE_DISABLED</x:v>
      </x:c>
      <x:c r="E125" s="14" t="str">
        <x:v>CREATE_WITHDRAWAL_FEATURE_DISABLED</x:v>
      </x:c>
      <x:c r="F125" s="14" t="str">
        <x:v>⁠0xe22e21c60f32cfb79020e8dbf3211f7a678325f5d7195c979268c4db4a4a6fa1</x:v>
      </x:c>
      <x:c r="G125" s="14" t="str">
        <x:v>abiEncode</x:v>
      </x:c>
      <x:c r="H125" s="14" t="str"/>
      <x:c r="I125" s="14" t="str">
        <x:v>bool</x:v>
      </x:c>
      <x:c r="J125" s="14" t="str">
        <x:v>module</x:v>
      </x:c>
      <x:c r="K125" s="16" t="str">
        <x:v>是</x:v>
      </x:c>
      <x:c r="L125" s="16" t="str">
        <x:v>否</x:v>
      </x:c>
      <x:c r="M125" s="14" t="str">
        <x:v>Config(CONFIG_KEEPER)</x:v>
      </x:c>
      <x:c r="N125" s="14" t="str">
        <x:v>沿用/见变更表</x:v>
      </x:c>
      <x:c r="O125" s="14" t="str">
        <x:v>FX100Keys.sol / Config.sol / registry-v0.3.2.json</x:v>
      </x:c>
    </x:row>
    <x:row r="126">
      <x:c r="A126" s="16" t="n">
        <x:v>125</x:v>
      </x:c>
      <x:c r="B126" s="14" t="str">
        <x:v>常量</x:v>
      </x:c>
      <x:c r="C126" s="14" t="str">
        <x:v>CANCEL_WITHDRAWAL_FEATURE_DISABLED</x:v>
      </x:c>
      <x:c r="D126" s="14" t="str">
        <x:v>CANCEL_WITHDRAWAL_FEATURE_DISABLED</x:v>
      </x:c>
      <x:c r="E126" s="14" t="str">
        <x:v>CANCEL_WITHDRAWAL_FEATURE_DISABLED</x:v>
      </x:c>
      <x:c r="F126" s="14" t="str">
        <x:v>⁠0x140e23cf2aaa07da5b9e920f74b7ab8d04fda453ff700aeed2cff1283345b7c7</x:v>
      </x:c>
      <x:c r="G126" s="14" t="str">
        <x:v>abiEncode</x:v>
      </x:c>
      <x:c r="H126" s="14" t="str"/>
      <x:c r="I126" s="14" t="str">
        <x:v>bool</x:v>
      </x:c>
      <x:c r="J126" s="14" t="str">
        <x:v>module</x:v>
      </x:c>
      <x:c r="K126" s="16" t="str">
        <x:v>是</x:v>
      </x:c>
      <x:c r="L126" s="16" t="str">
        <x:v>否</x:v>
      </x:c>
      <x:c r="M126" s="14" t="str">
        <x:v>Config(CONFIG_KEEPER)</x:v>
      </x:c>
      <x:c r="N126" s="14" t="str">
        <x:v>沿用/见变更表</x:v>
      </x:c>
      <x:c r="O126" s="14" t="str">
        <x:v>FX100Keys.sol / Config.sol / registry-v0.3.2.json</x:v>
      </x:c>
    </x:row>
    <x:row r="127">
      <x:c r="A127" s="16" t="n">
        <x:v>126</x:v>
      </x:c>
      <x:c r="B127" s="14" t="str">
        <x:v>常量</x:v>
      </x:c>
      <x:c r="C127" s="14" t="str">
        <x:v>EXECUTE_WITHDRAWAL_FEATURE_DISABLED</x:v>
      </x:c>
      <x:c r="D127" s="14" t="str">
        <x:v>EXECUTE_WITHDRAWAL_FEATURE_DISABLED</x:v>
      </x:c>
      <x:c r="E127" s="14" t="str">
        <x:v>EXECUTE_WITHDRAWAL_FEATURE_DISABLED</x:v>
      </x:c>
      <x:c r="F127" s="14" t="str">
        <x:v>⁠0xa5d5ec2aef29f70d602db4f2b395018c1a19c7f69e551e9943277b57770f0dd0</x:v>
      </x:c>
      <x:c r="G127" s="14" t="str">
        <x:v>abiEncode</x:v>
      </x:c>
      <x:c r="H127" s="14" t="str"/>
      <x:c r="I127" s="14" t="str">
        <x:v>bool</x:v>
      </x:c>
      <x:c r="J127" s="14" t="str">
        <x:v>module</x:v>
      </x:c>
      <x:c r="K127" s="16" t="str">
        <x:v>是</x:v>
      </x:c>
      <x:c r="L127" s="16" t="str">
        <x:v>否</x:v>
      </x:c>
      <x:c r="M127" s="14" t="str">
        <x:v>Config(CONFIG_KEEPER)</x:v>
      </x:c>
      <x:c r="N127" s="14" t="str">
        <x:v>沿用/见变更表</x:v>
      </x:c>
      <x:c r="O127" s="14" t="str">
        <x:v>FX100Keys.sol / Config.sol / registry-v0.3.2.json</x:v>
      </x:c>
    </x:row>
    <x:row r="128">
      <x:c r="A128" s="16" t="n">
        <x:v>127</x:v>
      </x:c>
      <x:c r="B128" s="14" t="str">
        <x:v>常量</x:v>
      </x:c>
      <x:c r="C128" s="14" t="str">
        <x:v>EXECUTE_ATOMIC_WITHDRAWAL_FEATURE_DISABLED</x:v>
      </x:c>
      <x:c r="D128" s="14" t="str">
        <x:v>EXECUTE_ATOMIC_WITHDRAWAL_FEATURE_DISABLED</x:v>
      </x:c>
      <x:c r="E128" s="14" t="str">
        <x:v>EXECUTE_ATOMIC_WITHDRAWAL_FEATURE_DISABLED</x:v>
      </x:c>
      <x:c r="F128" s="14" t="str">
        <x:v>⁠0x227609b2dabc89b9be687155d77b9464d7b462401ec65e744f3a8a01d02b8ec0</x:v>
      </x:c>
      <x:c r="G128" s="14" t="str">
        <x:v>abiEncode</x:v>
      </x:c>
      <x:c r="H128" s="14" t="str"/>
      <x:c r="I128" s="14" t="str">
        <x:v>bool</x:v>
      </x:c>
      <x:c r="J128" s="14" t="str">
        <x:v>module</x:v>
      </x:c>
      <x:c r="K128" s="16" t="str">
        <x:v>是</x:v>
      </x:c>
      <x:c r="L128" s="16" t="str">
        <x:v>否</x:v>
      </x:c>
      <x:c r="M128" s="14" t="str">
        <x:v>Config(CONFIG_KEEPER)</x:v>
      </x:c>
      <x:c r="N128" s="14" t="str">
        <x:v>沿用/见变更表</x:v>
      </x:c>
      <x:c r="O128" s="14" t="str">
        <x:v>FX100Keys.sol / Config.sol / registry-v0.3.2.json</x:v>
      </x:c>
    </x:row>
    <x:row r="129">
      <x:c r="A129" s="16" t="n">
        <x:v>128</x:v>
      </x:c>
      <x:c r="B129" s="14" t="str">
        <x:v>常量</x:v>
      </x:c>
      <x:c r="C129" s="14" t="str">
        <x:v>CREATE_ORDER_FEATURE_DISABLED</x:v>
      </x:c>
      <x:c r="D129" s="14" t="str">
        <x:v>CREATE_ORDER_FEATURE_DISABLED</x:v>
      </x:c>
      <x:c r="E129" s="14" t="str">
        <x:v>CREATE_ORDER_FEATURE_DISABLED</x:v>
      </x:c>
      <x:c r="F129" s="14" t="str">
        <x:v>⁠0xdf83d07880c6c9da5b08e099b2210859db7182f98d9293f12e8552c7674ccbe6</x:v>
      </x:c>
      <x:c r="G129" s="14" t="str">
        <x:v>abiEncode</x:v>
      </x:c>
      <x:c r="H129" s="14" t="str"/>
      <x:c r="I129" s="14" t="str">
        <x:v>bool</x:v>
      </x:c>
      <x:c r="J129" s="14" t="str">
        <x:v>module + orderType</x:v>
      </x:c>
      <x:c r="K129" s="16" t="str">
        <x:v>是</x:v>
      </x:c>
      <x:c r="L129" s="16" t="str">
        <x:v>否</x:v>
      </x:c>
      <x:c r="M129" s="14" t="str">
        <x:v>Config(CONFIG_KEEPER)</x:v>
      </x:c>
      <x:c r="N129" s="14" t="str">
        <x:v>沿用/见变更表</x:v>
      </x:c>
      <x:c r="O129" s="14" t="str">
        <x:v>FX100Keys.sol / Config.sol / registry-v0.3.2.json</x:v>
      </x:c>
    </x:row>
    <x:row r="130">
      <x:c r="A130" s="16" t="n">
        <x:v>129</x:v>
      </x:c>
      <x:c r="B130" s="14" t="str">
        <x:v>常量</x:v>
      </x:c>
      <x:c r="C130" s="14" t="str">
        <x:v>EXECUTE_ORDER_FEATURE_DISABLED</x:v>
      </x:c>
      <x:c r="D130" s="14" t="str">
        <x:v>EXECUTE_ORDER_FEATURE_DISABLED</x:v>
      </x:c>
      <x:c r="E130" s="14" t="str">
        <x:v>EXECUTE_ORDER_FEATURE_DISABLED</x:v>
      </x:c>
      <x:c r="F130" s="14" t="str">
        <x:v>⁠0xfeecf7f710a5550b87d68f152c61d5fa51b623a46b6f640b617fdce98319659f</x:v>
      </x:c>
      <x:c r="G130" s="14" t="str">
        <x:v>abiEncode</x:v>
      </x:c>
      <x:c r="H130" s="14" t="str"/>
      <x:c r="I130" s="14" t="str">
        <x:v>bool</x:v>
      </x:c>
      <x:c r="J130" s="14" t="str">
        <x:v>module + orderType</x:v>
      </x:c>
      <x:c r="K130" s="16" t="str">
        <x:v>是</x:v>
      </x:c>
      <x:c r="L130" s="16" t="str">
        <x:v>否</x:v>
      </x:c>
      <x:c r="M130" s="14" t="str">
        <x:v>Config(CONFIG_KEEPER)</x:v>
      </x:c>
      <x:c r="N130" s="14" t="str">
        <x:v>沿用/见变更表</x:v>
      </x:c>
      <x:c r="O130" s="14" t="str">
        <x:v>FX100Keys.sol / Config.sol / registry-v0.3.2.json</x:v>
      </x:c>
    </x:row>
    <x:row r="131">
      <x:c r="A131" s="16" t="n">
        <x:v>130</x:v>
      </x:c>
      <x:c r="B131" s="14" t="str">
        <x:v>常量</x:v>
      </x:c>
      <x:c r="C131" s="14" t="str">
        <x:v>EXECUTE_ADL_FEATURE_DISABLED</x:v>
      </x:c>
      <x:c r="D131" s="14" t="str">
        <x:v>EXECUTE_ADL_FEATURE_DISABLED</x:v>
      </x:c>
      <x:c r="E131" s="14" t="str">
        <x:v>EXECUTE_ADL_FEATURE_DISABLED</x:v>
      </x:c>
      <x:c r="F131" s="14" t="str">
        <x:v>⁠0x7ec36cfdc8138f81d335ee44288c2014b983372ac8bb7fc7ed3021b0b842bdf6</x:v>
      </x:c>
      <x:c r="G131" s="14" t="str">
        <x:v>abiEncode</x:v>
      </x:c>
      <x:c r="H131" s="14" t="str"/>
      <x:c r="I131" s="14" t="str">
        <x:v>bool</x:v>
      </x:c>
      <x:c r="J131" s="14" t="str">
        <x:v>module + orderType</x:v>
      </x:c>
      <x:c r="K131" s="16" t="str">
        <x:v>是</x:v>
      </x:c>
      <x:c r="L131" s="16" t="str">
        <x:v>否</x:v>
      </x:c>
      <x:c r="M131" s="14" t="str">
        <x:v>Config(CONFIG_KEEPER)</x:v>
      </x:c>
      <x:c r="N131" s="14" t="str">
        <x:v>沿用/见变更表</x:v>
      </x:c>
      <x:c r="O131" s="14" t="str">
        <x:v>FX100Keys.sol / Config.sol / registry-v0.3.2.json</x:v>
      </x:c>
    </x:row>
    <x:row r="132">
      <x:c r="A132" s="16" t="n">
        <x:v>131</x:v>
      </x:c>
      <x:c r="B132" s="14" t="str">
        <x:v>常量</x:v>
      </x:c>
      <x:c r="C132" s="14" t="str">
        <x:v>UPDATE_ORDER_FEATURE_DISABLED</x:v>
      </x:c>
      <x:c r="D132" s="14" t="str">
        <x:v>UPDATE_ORDER_FEATURE_DISABLED</x:v>
      </x:c>
      <x:c r="E132" s="14" t="str">
        <x:v>UPDATE_ORDER_FEATURE_DISABLED</x:v>
      </x:c>
      <x:c r="F132" s="14" t="str">
        <x:v>⁠0x7117083c70c4572953617e4f37ac075352fdbd9dd555ff4bf95865548af0e55b</x:v>
      </x:c>
      <x:c r="G132" s="14" t="str">
        <x:v>abiEncode</x:v>
      </x:c>
      <x:c r="H132" s="14" t="str"/>
      <x:c r="I132" s="14" t="str">
        <x:v>bool</x:v>
      </x:c>
      <x:c r="J132" s="14" t="str">
        <x:v>module + orderType</x:v>
      </x:c>
      <x:c r="K132" s="16" t="str">
        <x:v>是</x:v>
      </x:c>
      <x:c r="L132" s="16" t="str">
        <x:v>否</x:v>
      </x:c>
      <x:c r="M132" s="14" t="str">
        <x:v>Config(CONFIG_KEEPER)</x:v>
      </x:c>
      <x:c r="N132" s="14" t="str">
        <x:v>沿用/见变更表</x:v>
      </x:c>
      <x:c r="O132" s="14" t="str">
        <x:v>FX100Keys.sol / Config.sol / registry-v0.3.2.json</x:v>
      </x:c>
    </x:row>
    <x:row r="133">
      <x:c r="A133" s="16" t="n">
        <x:v>132</x:v>
      </x:c>
      <x:c r="B133" s="14" t="str">
        <x:v>常量</x:v>
      </x:c>
      <x:c r="C133" s="14" t="str">
        <x:v>CANCEL_ORDER_FEATURE_DISABLED</x:v>
      </x:c>
      <x:c r="D133" s="14" t="str">
        <x:v>CANCEL_ORDER_FEATURE_DISABLED</x:v>
      </x:c>
      <x:c r="E133" s="14" t="str">
        <x:v>CANCEL_ORDER_FEATURE_DISABLED</x:v>
      </x:c>
      <x:c r="F133" s="14" t="str">
        <x:v>⁠0x86fdb9bb0b922f499ebaec089088902cffe9f5cfb587e51bc742bcca0b431985</x:v>
      </x:c>
      <x:c r="G133" s="14" t="str">
        <x:v>abiEncode</x:v>
      </x:c>
      <x:c r="H133" s="14" t="str"/>
      <x:c r="I133" s="14" t="str">
        <x:v>bool</x:v>
      </x:c>
      <x:c r="J133" s="14" t="str">
        <x:v>module + orderType</x:v>
      </x:c>
      <x:c r="K133" s="16" t="str">
        <x:v>是</x:v>
      </x:c>
      <x:c r="L133" s="16" t="str">
        <x:v>否</x:v>
      </x:c>
      <x:c r="M133" s="14" t="str">
        <x:v>Config(CONFIG_KEEPER)</x:v>
      </x:c>
      <x:c r="N133" s="14" t="str">
        <x:v>沿用/见变更表</x:v>
      </x:c>
      <x:c r="O133" s="14" t="str">
        <x:v>FX100Keys.sol / Config.sol / registry-v0.3.2.json</x:v>
      </x:c>
    </x:row>
    <x:row r="134">
      <x:c r="A134" s="16" t="n">
        <x:v>133</x:v>
      </x:c>
      <x:c r="B134" s="14" t="str">
        <x:v>常量</x:v>
      </x:c>
      <x:c r="C134" s="14" t="str">
        <x:v>CLAIM_FUNDING_FEES_FEATURE_DISABLED</x:v>
      </x:c>
      <x:c r="D134" s="14" t="str">
        <x:v>CLAIM_FUNDING_FEES_FEATURE_DISABLED</x:v>
      </x:c>
      <x:c r="E134" s="14" t="str">
        <x:v>CLAIM_FUNDING_FEES_FEATURE_DISABLED</x:v>
      </x:c>
      <x:c r="F134" s="14" t="str">
        <x:v>⁠0x76ae681616b22a1dbedfed97711cfbaccebaa8fdbc95a784ac7b688a70d0e776</x:v>
      </x:c>
      <x:c r="G134" s="14" t="str">
        <x:v>abiEncode</x:v>
      </x:c>
      <x:c r="H134" s="14" t="str"/>
      <x:c r="I134" s="14" t="str">
        <x:v>bool</x:v>
      </x:c>
      <x:c r="J134" s="14" t="str">
        <x:v>module</x:v>
      </x:c>
      <x:c r="K134" s="16" t="str">
        <x:v>是</x:v>
      </x:c>
      <x:c r="L134" s="16" t="str">
        <x:v>否</x:v>
      </x:c>
      <x:c r="M134" s="14" t="str">
        <x:v>Config(CONFIG_KEEPER)</x:v>
      </x:c>
      <x:c r="N134" s="14" t="str">
        <x:v>沿用/见变更表</x:v>
      </x:c>
      <x:c r="O134" s="14" t="str">
        <x:v>FX100Keys.sol / Config.sol / registry-v0.3.2.json</x:v>
      </x:c>
    </x:row>
    <x:row r="135">
      <x:c r="A135" s="16" t="n">
        <x:v>134</x:v>
      </x:c>
      <x:c r="B135" s="14" t="str">
        <x:v>常量</x:v>
      </x:c>
      <x:c r="C135" s="14" t="str">
        <x:v>CLAIM_AFFILIATE_REWARDS_FEATURE_DISABLED</x:v>
      </x:c>
      <x:c r="D135" s="14" t="str">
        <x:v>CLAIM_AFFILIATE_REWARDS_FEATURE_DISABLED</x:v>
      </x:c>
      <x:c r="E135" s="14" t="str">
        <x:v>CLAIM_AFFILIATE_REWARDS_FEATURE_DISABLED</x:v>
      </x:c>
      <x:c r="F135" s="14" t="str">
        <x:v>⁠0x7609820b4c2dd800e9a96ab8efe0e93c1195d57252fec524d70c31339efdee8d</x:v>
      </x:c>
      <x:c r="G135" s="14" t="str">
        <x:v>abiEncode</x:v>
      </x:c>
      <x:c r="H135" s="14" t="str"/>
      <x:c r="I135" s="14" t="str">
        <x:v>bool</x:v>
      </x:c>
      <x:c r="J135" s="14" t="str">
        <x:v>module</x:v>
      </x:c>
      <x:c r="K135" s="16" t="str">
        <x:v>是</x:v>
      </x:c>
      <x:c r="L135" s="16" t="str">
        <x:v>否</x:v>
      </x:c>
      <x:c r="M135" s="14" t="str">
        <x:v>Config(CONFIG_KEEPER)</x:v>
      </x:c>
      <x:c r="N135" s="14" t="str">
        <x:v>沿用/见变更表</x:v>
      </x:c>
      <x:c r="O135" s="14" t="str">
        <x:v>FX100Keys.sol / Config.sol / registry-v0.3.2.json</x:v>
      </x:c>
    </x:row>
    <x:row r="136">
      <x:c r="A136" s="16" t="n">
        <x:v>135</x:v>
      </x:c>
      <x:c r="B136" s="14" t="str">
        <x:v>常量</x:v>
      </x:c>
      <x:c r="C136" s="14" t="str">
        <x:v>CLAIM_UI_FEES_FEATURE_DISABLED</x:v>
      </x:c>
      <x:c r="D136" s="14" t="str">
        <x:v>CLAIM_UI_FEES_FEATURE_DISABLED</x:v>
      </x:c>
      <x:c r="E136" s="14" t="str">
        <x:v>CLAIM_UI_FEES_FEATURE_DISABLED</x:v>
      </x:c>
      <x:c r="F136" s="14" t="str">
        <x:v>⁠0x00a9cfafc7ab2c938d08637c9ef1aea8139481b8c34d60b74cdd4b4c064c49ee</x:v>
      </x:c>
      <x:c r="G136" s="14" t="str">
        <x:v>abiEncode</x:v>
      </x:c>
      <x:c r="H136" s="14" t="str"/>
      <x:c r="I136" s="14" t="str">
        <x:v>bool</x:v>
      </x:c>
      <x:c r="J136" s="14" t="str">
        <x:v>module</x:v>
      </x:c>
      <x:c r="K136" s="16" t="str">
        <x:v>是</x:v>
      </x:c>
      <x:c r="L136" s="16" t="str">
        <x:v>否</x:v>
      </x:c>
      <x:c r="M136" s="14" t="str">
        <x:v>Config(CONFIG_KEEPER)</x:v>
      </x:c>
      <x:c r="N136" s="14" t="str">
        <x:v>沿用/见变更表</x:v>
      </x:c>
      <x:c r="O136" s="14" t="str">
        <x:v>FX100Keys.sol / Config.sol / registry-v0.3.2.json</x:v>
      </x:c>
    </x:row>
    <x:row r="137">
      <x:c r="A137" s="16" t="n">
        <x:v>136</x:v>
      </x:c>
      <x:c r="B137" s="14" t="str">
        <x:v>常量</x:v>
      </x:c>
      <x:c r="C137" s="14" t="str">
        <x:v>SUBACCOUNT_FEATURE_DISABLED</x:v>
      </x:c>
      <x:c r="D137" s="14" t="str">
        <x:v>SUBACCOUNT_FEATURE_DISABLED</x:v>
      </x:c>
      <x:c r="E137" s="14" t="str">
        <x:v>SUBACCOUNT_FEATURE_DISABLED</x:v>
      </x:c>
      <x:c r="F137" s="14" t="str">
        <x:v>⁠0xa01c6da5d5e15c1af8f98062aeca120f965ccea873f1e9d80d26b3289b001b88</x:v>
      </x:c>
      <x:c r="G137" s="14" t="str">
        <x:v>abiEncode</x:v>
      </x:c>
      <x:c r="H137" s="14" t="str"/>
      <x:c r="I137" s="14" t="str">
        <x:v>bool</x:v>
      </x:c>
      <x:c r="J137" s="14" t="str">
        <x:v>module</x:v>
      </x:c>
      <x:c r="K137" s="16" t="str">
        <x:v>是</x:v>
      </x:c>
      <x:c r="L137" s="16" t="str">
        <x:v>否</x:v>
      </x:c>
      <x:c r="M137" s="14" t="str">
        <x:v>Config(CONFIG_KEEPER)</x:v>
      </x:c>
      <x:c r="N137" s="14" t="str">
        <x:v>沿用/见变更表</x:v>
      </x:c>
      <x:c r="O137" s="14" t="str">
        <x:v>FX100Keys.sol / Config.sol / registry-v0.3.2.json</x:v>
      </x:c>
    </x:row>
    <x:row r="138">
      <x:c r="A138" s="16" t="n">
        <x:v>137</x:v>
      </x:c>
      <x:c r="B138" s="14" t="str">
        <x:v>常量</x:v>
      </x:c>
      <x:c r="C138" s="14" t="str">
        <x:v>GASLESS_FEATURE_DISABLED</x:v>
      </x:c>
      <x:c r="D138" s="14" t="str">
        <x:v>GASLESS_FEATURE_DISABLED</x:v>
      </x:c>
      <x:c r="E138" s="14" t="str">
        <x:v>GASLESS_FEATURE_DISABLED</x:v>
      </x:c>
      <x:c r="F138" s="14" t="str">
        <x:v>⁠0xeb9f7255b7f27e30167db1aa9edc905870ff134ae556c058d38f8e54431147aa</x:v>
      </x:c>
      <x:c r="G138" s="14" t="str">
        <x:v>abiEncode</x:v>
      </x:c>
      <x:c r="H138" s="14" t="str"/>
      <x:c r="I138" s="14" t="str">
        <x:v>bool</x:v>
      </x:c>
      <x:c r="J138" s="14" t="str">
        <x:v>module</x:v>
      </x:c>
      <x:c r="K138" s="16" t="str">
        <x:v>是</x:v>
      </x:c>
      <x:c r="L138" s="16" t="str">
        <x:v>否</x:v>
      </x:c>
      <x:c r="M138" s="14" t="str">
        <x:v>Config(CONFIG_KEEPER)</x:v>
      </x:c>
      <x:c r="N138" s="14" t="str">
        <x:v>沿用/见变更表</x:v>
      </x:c>
      <x:c r="O138" s="14" t="str">
        <x:v>FX100Keys.sol / Config.sol / registry-v0.3.2.json</x:v>
      </x:c>
    </x:row>
    <x:row r="139">
      <x:c r="A139" s="16" t="n">
        <x:v>138</x:v>
      </x:c>
      <x:c r="B139" s="14" t="str">
        <x:v>常量</x:v>
      </x:c>
      <x:c r="C139" s="14" t="str">
        <x:v>GENERAL_CLAIM_FEATURE_DISABLED</x:v>
      </x:c>
      <x:c r="D139" s="14" t="str">
        <x:v>GENERAL_CLAIM_FEATURE_DISABLED</x:v>
      </x:c>
      <x:c r="E139" s="14" t="str">
        <x:v>GENERAL_CLAIM_FEATURE_DISABLED</x:v>
      </x:c>
      <x:c r="F139" s="14" t="str">
        <x:v>⁠0x1d2ba6447efa610ce55888762a716d08b0a8b4c6ba415d403ae157d4320e0799</x:v>
      </x:c>
      <x:c r="G139" s="14" t="str">
        <x:v>abiEncode</x:v>
      </x:c>
      <x:c r="H139" s="14" t="str"/>
      <x:c r="I139" s="14" t="str">
        <x:v>bool</x:v>
      </x:c>
      <x:c r="J139" s="14" t="str">
        <x:v>distributionId</x:v>
      </x:c>
      <x:c r="K139" s="16" t="str">
        <x:v>是</x:v>
      </x:c>
      <x:c r="L139" s="16" t="str">
        <x:v>否</x:v>
      </x:c>
      <x:c r="M139" s="14" t="str">
        <x:v>Config(CONFIG_KEEPER)</x:v>
      </x:c>
      <x:c r="N139" s="14" t="str">
        <x:v>沿用/见变更表</x:v>
      </x:c>
      <x:c r="O139" s="14" t="str">
        <x:v>FX100Keys.sol / Config.sol / registry-v0.3.2.json</x:v>
      </x:c>
    </x:row>
    <x:row r="140">
      <x:c r="A140" s="16" t="n">
        <x:v>139</x:v>
      </x:c>
      <x:c r="B140" s="14" t="str">
        <x:v>常量</x:v>
      </x:c>
      <x:c r="C140" s="14" t="str">
        <x:v>MIN_ORACLE_SIGNERS</x:v>
      </x:c>
      <x:c r="D140" s="14" t="str">
        <x:v>MIN_ORACLE_SIGNERS</x:v>
      </x:c>
      <x:c r="E140" s="14" t="str">
        <x:v>MIN_ORACLE_SIGNERS</x:v>
      </x:c>
      <x:c r="F140" s="14" t="str">
        <x:v>⁠0xca743b6c74c562e099be60774edc4f9efa2362a901058c58612675f8d852ba06</x:v>
      </x:c>
      <x:c r="G140" s="14" t="str">
        <x:v>abiEncode</x:v>
      </x:c>
      <x:c r="H140" s="14" t="str"/>
      <x:c r="I140" s="14" t="str"/>
      <x:c r="J140" s="14" t="str">
        <x:v>global/raw</x:v>
      </x:c>
      <x:c r="K140" s="16" t="str">
        <x:v>否</x:v>
      </x:c>
      <x:c r="L140" s="16" t="str">
        <x:v>否</x:v>
      </x:c>
      <x:c r="M140" s="14" t="str">
        <x:v>DataStore 直写(CONTROLLER)</x:v>
      </x:c>
      <x:c r="N140" s="14" t="str">
        <x:v>沿用/见变更表</x:v>
      </x:c>
      <x:c r="O140" s="14" t="str">
        <x:v>FX100Keys.sol / Config.sol / registry-v0.3.2.json</x:v>
      </x:c>
    </x:row>
    <x:row r="141">
      <x:c r="A141" s="16" t="n">
        <x:v>140</x:v>
      </x:c>
      <x:c r="B141" s="14" t="str">
        <x:v>常量</x:v>
      </x:c>
      <x:c r="C141" s="14" t="str">
        <x:v>MIN_ORACLE_BLOCK_CONFIRMATIONS</x:v>
      </x:c>
      <x:c r="D141" s="14" t="str">
        <x:v>MIN_ORACLE_BLOCK_CONFIRMATIONS</x:v>
      </x:c>
      <x:c r="E141" s="14" t="str">
        <x:v>MIN_ORACLE_BLOCK_CONFIRMATIONS</x:v>
      </x:c>
      <x:c r="F141" s="14" t="str">
        <x:v>⁠0x445ca54e2bbcedf38fbd27852669601f815ad148d665a37db3d2aa43c9084db1</x:v>
      </x:c>
      <x:c r="G141" s="14" t="str">
        <x:v>abiEncode</x:v>
      </x:c>
      <x:c r="H141" s="14" t="str"/>
      <x:c r="I141" s="14" t="str"/>
      <x:c r="J141" s="14" t="str">
        <x:v>global/raw</x:v>
      </x:c>
      <x:c r="K141" s="16" t="str">
        <x:v>是</x:v>
      </x:c>
      <x:c r="L141" s="16" t="str">
        <x:v>否</x:v>
      </x:c>
      <x:c r="M141" s="14" t="str">
        <x:v>Config(CONFIG_KEEPER)</x:v>
      </x:c>
      <x:c r="N141" s="14" t="str">
        <x:v>沿用/见变更表</x:v>
      </x:c>
      <x:c r="O141" s="14" t="str">
        <x:v>FX100Keys.sol / Config.sol / registry-v0.3.2.json</x:v>
      </x:c>
    </x:row>
    <x:row r="142">
      <x:c r="A142" s="16" t="n">
        <x:v>141</x:v>
      </x:c>
      <x:c r="B142" s="14" t="str">
        <x:v>常量</x:v>
      </x:c>
      <x:c r="C142" s="14" t="str">
        <x:v>MAX_ORACLE_PRICE_AGE</x:v>
      </x:c>
      <x:c r="D142" s="14" t="str">
        <x:v>MAX_ORACLE_PRICE_AGE</x:v>
      </x:c>
      <x:c r="E142" s="14" t="str">
        <x:v>MAX_ORACLE_PRICE_AGE</x:v>
      </x:c>
      <x:c r="F142" s="14" t="str">
        <x:v>⁠0x2498be75403c532695a52aa481268f4d166a68f0d7468b5a879e2beb6ec70062</x:v>
      </x:c>
      <x:c r="G142" s="14" t="str">
        <x:v>abiEncode</x:v>
      </x:c>
      <x:c r="H142" s="14" t="str"/>
      <x:c r="I142" s="14" t="str">
        <x:v>uint</x:v>
      </x:c>
      <x:c r="J142" s="14" t="str">
        <x:v>global/raw</x:v>
      </x:c>
      <x:c r="K142" s="16" t="str">
        <x:v>是</x:v>
      </x:c>
      <x:c r="L142" s="16" t="str">
        <x:v>否</x:v>
      </x:c>
      <x:c r="M142" s="14" t="str">
        <x:v>Config(CONFIG_KEEPER)</x:v>
      </x:c>
      <x:c r="N142" s="14" t="str">
        <x:v>沿用/见变更表</x:v>
      </x:c>
      <x:c r="O142" s="14" t="str">
        <x:v>FX100Keys.sol / Config.sol / registry-v0.3.2.json</x:v>
      </x:c>
    </x:row>
    <x:row r="143">
      <x:c r="A143" s="16" t="n">
        <x:v>142</x:v>
      </x:c>
      <x:c r="B143" s="14" t="str">
        <x:v>常量</x:v>
      </x:c>
      <x:c r="C143" s="14" t="str">
        <x:v>MAX_RECORDED_PRICE_AGE</x:v>
      </x:c>
      <x:c r="D143" s="14" t="str">
        <x:v>MAX_RECORDED_PRICE_AGE</x:v>
      </x:c>
      <x:c r="E143" s="14" t="str">
        <x:v>MAX_RECORDED_PRICE_AGE</x:v>
      </x:c>
      <x:c r="F143" s="14" t="str">
        <x:v>⁠0xc83c444bcd119490846c686c27f08afe01d79d379620a40281e02eb5c02f4eb1</x:v>
      </x:c>
      <x:c r="G143" s="14" t="str">
        <x:v>abiEncode</x:v>
      </x:c>
      <x:c r="H143" s="14" t="str"/>
      <x:c r="I143" s="14" t="str">
        <x:v>uint</x:v>
      </x:c>
      <x:c r="J143" s="14" t="str">
        <x:v>global/raw</x:v>
      </x:c>
      <x:c r="K143" s="16" t="str">
        <x:v>是</x:v>
      </x:c>
      <x:c r="L143" s="16" t="str">
        <x:v>否</x:v>
      </x:c>
      <x:c r="M143" s="14" t="str">
        <x:v>Config(CONFIG_KEEPER)</x:v>
      </x:c>
      <x:c r="N143" s="14" t="str">
        <x:v>沿用/见变更表</x:v>
      </x:c>
      <x:c r="O143" s="14" t="str">
        <x:v>FX100Keys.sol / Config.sol / registry-v0.3.2.json</x:v>
      </x:c>
    </x:row>
    <x:row r="144">
      <x:c r="A144" s="16" t="n">
        <x:v>143</x:v>
      </x:c>
      <x:c r="B144" s="14" t="str">
        <x:v>常量</x:v>
      </x:c>
      <x:c r="C144" s="14" t="str">
        <x:v>MAX_ORACLE_TIMESTAMP_RANGE</x:v>
      </x:c>
      <x:c r="D144" s="14" t="str">
        <x:v>MAX_ORACLE_TIMESTAMP_RANGE</x:v>
      </x:c>
      <x:c r="E144" s="14" t="str">
        <x:v>MAX_ORACLE_TIMESTAMP_RANGE</x:v>
      </x:c>
      <x:c r="F144" s="14" t="str">
        <x:v>⁠0xfd601530e028bbf3f82445e9cbecc952c0949c975b6e8b5b7faa42fad1df678a</x:v>
      </x:c>
      <x:c r="G144" s="14" t="str">
        <x:v>abiEncode</x:v>
      </x:c>
      <x:c r="H144" s="14" t="str"/>
      <x:c r="I144" s="14" t="str">
        <x:v>uint</x:v>
      </x:c>
      <x:c r="J144" s="14" t="str">
        <x:v>global/raw</x:v>
      </x:c>
      <x:c r="K144" s="16" t="str">
        <x:v>是</x:v>
      </x:c>
      <x:c r="L144" s="16" t="str">
        <x:v>否</x:v>
      </x:c>
      <x:c r="M144" s="14" t="str">
        <x:v>Config(CONFIG_KEEPER)</x:v>
      </x:c>
      <x:c r="N144" s="14" t="str">
        <x:v>沿用/见变更表</x:v>
      </x:c>
      <x:c r="O144" s="14" t="str">
        <x:v>FX100Keys.sol / Config.sol / registry-v0.3.2.json</x:v>
      </x:c>
    </x:row>
    <x:row r="145">
      <x:c r="A145" s="16" t="n">
        <x:v>144</x:v>
      </x:c>
      <x:c r="B145" s="14" t="str">
        <x:v>常量</x:v>
      </x:c>
      <x:c r="C145" s="14" t="str">
        <x:v>MAX_ORACLE_REF_PRICE_DEVIATION_FACTOR</x:v>
      </x:c>
      <x:c r="D145" s="14" t="str">
        <x:v>MAX_ORACLE_REF_PRICE_DEVIATION_FACTOR</x:v>
      </x:c>
      <x:c r="E145" s="14" t="str">
        <x:v>MAX_ORACLE_REF_PRICE_DEVIATION_FACTOR</x:v>
      </x:c>
      <x:c r="F145" s="14" t="str">
        <x:v>⁠0x6ae871e17942129cc618ad90203e946883c7e6680e1ce7610c677123c024a4f1</x:v>
      </x:c>
      <x:c r="G145" s="14" t="str">
        <x:v>abiEncode</x:v>
      </x:c>
      <x:c r="H145" s="14" t="str"/>
      <x:c r="I145" s="14" t="str">
        <x:v>uint</x:v>
      </x:c>
      <x:c r="J145" s="14" t="str">
        <x:v>global/raw</x:v>
      </x:c>
      <x:c r="K145" s="16" t="str">
        <x:v>是</x:v>
      </x:c>
      <x:c r="L145" s="16" t="str">
        <x:v>否</x:v>
      </x:c>
      <x:c r="M145" s="14" t="str">
        <x:v>Config(CONFIG_KEEPER)</x:v>
      </x:c>
      <x:c r="N145" s="14" t="str">
        <x:v>沿用/见变更表</x:v>
      </x:c>
      <x:c r="O145" s="14" t="str">
        <x:v>FX100Keys.sol / Config.sol / registry-v0.3.2.json</x:v>
      </x:c>
    </x:row>
    <x:row r="146">
      <x:c r="A146" s="16" t="n">
        <x:v>145</x:v>
      </x:c>
      <x:c r="B146" s="14" t="str">
        <x:v>常量</x:v>
      </x:c>
      <x:c r="C146" s="14" t="str">
        <x:v>IS_ORACLE_PROVIDER_ENABLED</x:v>
      </x:c>
      <x:c r="D146" s="14" t="str">
        <x:v>IS_ORACLE_PROVIDER_ENABLED</x:v>
      </x:c>
      <x:c r="E146" s="14" t="str">
        <x:v>IS_ORACLE_PROVIDER_ENABLED</x:v>
      </x:c>
      <x:c r="F146" s="14" t="str">
        <x:v>⁠0x6015d056536cff00cb3f95802407b3a56d3fa7d4736d98351ee5e1bcb73d9030</x:v>
      </x:c>
      <x:c r="G146" s="14" t="str">
        <x:v>abiEncode</x:v>
      </x:c>
      <x:c r="H146" s="14" t="str"/>
      <x:c r="I146" s="14" t="str">
        <x:v>bool</x:v>
      </x:c>
      <x:c r="J146" s="14" t="str">
        <x:v>oracleProvider</x:v>
      </x:c>
      <x:c r="K146" s="16" t="str">
        <x:v>否</x:v>
      </x:c>
      <x:c r="L146" s="16" t="str">
        <x:v>否</x:v>
      </x:c>
      <x:c r="M146" s="14" t="str">
        <x:v>DataStore 直写(CONTROLLER)</x:v>
      </x:c>
      <x:c r="N146" s="14" t="str">
        <x:v>沿用/见变更表</x:v>
      </x:c>
      <x:c r="O146" s="14" t="str">
        <x:v>FX100Keys.sol / Config.sol / registry-v0.3.2.json</x:v>
      </x:c>
    </x:row>
    <x:row r="147">
      <x:c r="A147" s="16" t="n">
        <x:v>146</x:v>
      </x:c>
      <x:c r="B147" s="14" t="str">
        <x:v>常量</x:v>
      </x:c>
      <x:c r="C147" s="14" t="str">
        <x:v>ORACLE_TIMESTAMP_ADJUSTMENT</x:v>
      </x:c>
      <x:c r="D147" s="14" t="str">
        <x:v>ORACLE_TIMESTAMP_ADJUSTMENT</x:v>
      </x:c>
      <x:c r="E147" s="14" t="str">
        <x:v>ORACLE_TIMESTAMP_ADJUSTMENT</x:v>
      </x:c>
      <x:c r="F147" s="14" t="str">
        <x:v>⁠0x23bf0486e8114b3a0cc772ea49140438e3b60769a07d3939c68c1da7d6e9ed20</x:v>
      </x:c>
      <x:c r="G147" s="14" t="str">
        <x:v>abiEncode</x:v>
      </x:c>
      <x:c r="H147" s="14" t="str"/>
      <x:c r="I147" s="14" t="str">
        <x:v>uint</x:v>
      </x:c>
      <x:c r="J147" s="14" t="str">
        <x:v>oracleProvider + token</x:v>
      </x:c>
      <x:c r="K147" s="16" t="str">
        <x:v>是</x:v>
      </x:c>
      <x:c r="L147" s="16" t="str">
        <x:v>否</x:v>
      </x:c>
      <x:c r="M147" s="14" t="str">
        <x:v>Config(CONFIG_KEEPER)</x:v>
      </x:c>
      <x:c r="N147" s="14" t="str">
        <x:v>沿用/见变更表</x:v>
      </x:c>
      <x:c r="O147" s="14" t="str">
        <x:v>FX100Keys.sol / Config.sol / registry-v0.3.2.json</x:v>
      </x:c>
    </x:row>
    <x:row r="148">
      <x:c r="A148" s="16" t="n">
        <x:v>147</x:v>
      </x:c>
      <x:c r="B148" s="14" t="str">
        <x:v>常量</x:v>
      </x:c>
      <x:c r="C148" s="14" t="str">
        <x:v>ORACLE_PROVIDER_FOR_TOKEN</x:v>
      </x:c>
      <x:c r="D148" s="14" t="str">
        <x:v>ORACLE_PROVIDER_FOR_TOKEN</x:v>
      </x:c>
      <x:c r="E148" s="14" t="str">
        <x:v>ORACLE_PROVIDER_FOR_TOKEN</x:v>
      </x:c>
      <x:c r="F148" s="14" t="str">
        <x:v>⁠0x657bbff942bd72a4c9f2ae3dde95e145191db37af62643255f43fd27fb007981</x:v>
      </x:c>
      <x:c r="G148" s="14" t="str">
        <x:v>abiEncode</x:v>
      </x:c>
      <x:c r="H148" s="14" t="str"/>
      <x:c r="I148" s="14" t="str">
        <x:v>address</x:v>
      </x:c>
      <x:c r="J148" s="14" t="str">
        <x:v>oracleContract + token</x:v>
      </x:c>
      <x:c r="K148" s="16" t="str">
        <x:v>否</x:v>
      </x:c>
      <x:c r="L148" s="16" t="str">
        <x:v>否</x:v>
      </x:c>
      <x:c r="M148" s="14" t="str">
        <x:v>DataStore 直写(CONTROLLER)</x:v>
      </x:c>
      <x:c r="N148" s="14" t="str">
        <x:v>沿用/见变更表</x:v>
      </x:c>
      <x:c r="O148" s="14" t="str">
        <x:v>FX100Keys.sol / Config.sol / registry-v0.3.2.json</x:v>
      </x:c>
    </x:row>
    <x:row r="149">
      <x:c r="A149" s="16" t="n">
        <x:v>148</x:v>
      </x:c>
      <x:c r="B149" s="14" t="str">
        <x:v>常量</x:v>
      </x:c>
      <x:c r="C149" s="14" t="str">
        <x:v>ORACLE_PROVIDER_UPDATED_AT</x:v>
      </x:c>
      <x:c r="D149" s="14" t="str">
        <x:v>ORACLE_PROVIDER_UPDATED_AT</x:v>
      </x:c>
      <x:c r="E149" s="14" t="str">
        <x:v>ORACLE_PROVIDER_UPDATED_AT</x:v>
      </x:c>
      <x:c r="F149" s="14" t="str">
        <x:v>⁠0x6c894da4a95dcd527acfeadd5a8eb1ebae683f49d37bc458f00bc49d4be9982b</x:v>
      </x:c>
      <x:c r="G149" s="14" t="str">
        <x:v>abiEncode</x:v>
      </x:c>
      <x:c r="H149" s="14" t="str"/>
      <x:c r="I149" s="14" t="str">
        <x:v>uint</x:v>
      </x:c>
      <x:c r="J149" s="14" t="str">
        <x:v>token + oracleProvider</x:v>
      </x:c>
      <x:c r="K149" s="16" t="str">
        <x:v>否</x:v>
      </x:c>
      <x:c r="L149" s="16" t="str">
        <x:v>否</x:v>
      </x:c>
      <x:c r="M149" s="14" t="str">
        <x:v>DataStore 直写(CONTROLLER)</x:v>
      </x:c>
      <x:c r="N149" s="14" t="str">
        <x:v>沿用/见变更表</x:v>
      </x:c>
      <x:c r="O149" s="14" t="str">
        <x:v>FX100Keys.sol / Config.sol / registry-v0.3.2.json</x:v>
      </x:c>
    </x:row>
    <x:row r="150">
      <x:c r="A150" s="16" t="n">
        <x:v>149</x:v>
      </x:c>
      <x:c r="B150" s="14" t="str">
        <x:v>常量</x:v>
      </x:c>
      <x:c r="C150" s="14" t="str">
        <x:v>ORACLE_PROVIDER_MIN_CHANGE_DELAY</x:v>
      </x:c>
      <x:c r="D150" s="14" t="str">
        <x:v>ORACLE_PROVIDER_MIN_CHANGE_DELAY</x:v>
      </x:c>
      <x:c r="E150" s="14" t="str">
        <x:v>ORACLE_PROVIDER_MIN_CHANGE_DELAY</x:v>
      </x:c>
      <x:c r="F150" s="14" t="str">
        <x:v>⁠0xd25bff94e6d7ea91d20825729fef538193a6c8eb391d1c84c81fde9dc17208bc</x:v>
      </x:c>
      <x:c r="G150" s="14" t="str">
        <x:v>abiEncode</x:v>
      </x:c>
      <x:c r="H150" s="14" t="str"/>
      <x:c r="I150" s="14" t="str">
        <x:v>uint</x:v>
      </x:c>
      <x:c r="J150" s="14" t="str">
        <x:v>global/raw</x:v>
      </x:c>
      <x:c r="K150" s="16" t="str">
        <x:v>是</x:v>
      </x:c>
      <x:c r="L150" s="16" t="str">
        <x:v>否</x:v>
      </x:c>
      <x:c r="M150" s="14" t="str">
        <x:v>Config(CONFIG_KEEPER)</x:v>
      </x:c>
      <x:c r="N150" s="14" t="str">
        <x:v>沿用/见变更表</x:v>
      </x:c>
      <x:c r="O150" s="14" t="str">
        <x:v>FX100Keys.sol / Config.sol / registry-v0.3.2.json</x:v>
      </x:c>
    </x:row>
    <x:row r="151">
      <x:c r="A151" s="16" t="n">
        <x:v>150</x:v>
      </x:c>
      <x:c r="B151" s="14" t="str">
        <x:v>常量</x:v>
      </x:c>
      <x:c r="C151" s="14" t="str">
        <x:v>CHAINLINK_PAYMENT_TOKEN</x:v>
      </x:c>
      <x:c r="D151" s="14" t="str">
        <x:v>CHAINLINK_PAYMENT_TOKEN</x:v>
      </x:c>
      <x:c r="E151" s="14" t="str">
        <x:v>CHAINLINK_PAYMENT_TOKEN</x:v>
      </x:c>
      <x:c r="F151" s="14" t="str">
        <x:v>⁠0x03f726650f8538e1919c3c9b108cb96f42556acb1f879309ce67536879722687</x:v>
      </x:c>
      <x:c r="G151" s="14" t="str">
        <x:v>abiEncode</x:v>
      </x:c>
      <x:c r="H151" s="14" t="str"/>
      <x:c r="I151" s="14" t="str">
        <x:v>address</x:v>
      </x:c>
      <x:c r="J151" s="14" t="str">
        <x:v>global/raw</x:v>
      </x:c>
      <x:c r="K151" s="16" t="str">
        <x:v>是</x:v>
      </x:c>
      <x:c r="L151" s="16" t="str">
        <x:v>否</x:v>
      </x:c>
      <x:c r="M151" s="14" t="str">
        <x:v>Config(CONFIG_KEEPER)</x:v>
      </x:c>
      <x:c r="N151" s="14" t="str">
        <x:v>沿用/见变更表</x:v>
      </x:c>
      <x:c r="O151" s="14" t="str">
        <x:v>FX100Keys.sol / Config.sol / registry-v0.3.2.json</x:v>
      </x:c>
    </x:row>
    <x:row r="152">
      <x:c r="A152" s="16" t="n">
        <x:v>151</x:v>
      </x:c>
      <x:c r="B152" s="14" t="str">
        <x:v>常量</x:v>
      </x:c>
      <x:c r="C152" s="14" t="str">
        <x:v>SEQUENCER_GRACE_DURATION</x:v>
      </x:c>
      <x:c r="D152" s="14" t="str">
        <x:v>SEQUENCER_GRACE_DURATION</x:v>
      </x:c>
      <x:c r="E152" s="14" t="str">
        <x:v>SEQUENCER_GRACE_DURATION</x:v>
      </x:c>
      <x:c r="F152" s="14" t="str">
        <x:v>⁠0x3e49c0cd228c0b769b9ef4b9ab5d55aed44ee1c781f748d0f209f9b472bb5cd5</x:v>
      </x:c>
      <x:c r="G152" s="14" t="str">
        <x:v>abiEncode</x:v>
      </x:c>
      <x:c r="H152" s="14" t="str"/>
      <x:c r="I152" s="14" t="str">
        <x:v>uint</x:v>
      </x:c>
      <x:c r="J152" s="14" t="str">
        <x:v>global/raw</x:v>
      </x:c>
      <x:c r="K152" s="16" t="str">
        <x:v>是</x:v>
      </x:c>
      <x:c r="L152" s="16" t="str">
        <x:v>否</x:v>
      </x:c>
      <x:c r="M152" s="14" t="str">
        <x:v>Config(CONFIG_KEEPER)</x:v>
      </x:c>
      <x:c r="N152" s="14" t="str">
        <x:v>沿用/见变更表</x:v>
      </x:c>
      <x:c r="O152" s="14" t="str">
        <x:v>FX100Keys.sol / Config.sol / registry-v0.3.2.json</x:v>
      </x:c>
    </x:row>
    <x:row r="153">
      <x:c r="A153" s="16" t="n">
        <x:v>152</x:v>
      </x:c>
      <x:c r="B153" s="14" t="str">
        <x:v>常量</x:v>
      </x:c>
      <x:c r="C153" s="14" t="str">
        <x:v>POSITION_FEE_RECEIVER_FACTOR</x:v>
      </x:c>
      <x:c r="D153" s="14" t="str">
        <x:v>POSITION_FEE_RECEIVER_FACTOR</x:v>
      </x:c>
      <x:c r="E153" s="14" t="str">
        <x:v>POSITION_FEE_RECEIVER_FACTOR</x:v>
      </x:c>
      <x:c r="F153" s="14" t="str">
        <x:v>⁠0x2b88ca05099085c49a5b3a47bec5166e91b81ecf14c8e7defd75f6a0e89886df</x:v>
      </x:c>
      <x:c r="G153" s="14" t="str">
        <x:v>abiEncode</x:v>
      </x:c>
      <x:c r="H153" s="14" t="str"/>
      <x:c r="I153" s="14" t="str">
        <x:v>uint</x:v>
      </x:c>
      <x:c r="J153" s="14" t="str">
        <x:v>global/raw</x:v>
      </x:c>
      <x:c r="K153" s="16" t="str">
        <x:v>是</x:v>
      </x:c>
      <x:c r="L153" s="16" t="str">
        <x:v>否</x:v>
      </x:c>
      <x:c r="M153" s="14" t="str">
        <x:v>Config(CONFIG_KEEPER)</x:v>
      </x:c>
      <x:c r="N153" s="14" t="str">
        <x:v>沿用/见变更表</x:v>
      </x:c>
      <x:c r="O153" s="14" t="str">
        <x:v>FX100Keys.sol / Config.sol / registry-v0.3.2.json</x:v>
      </x:c>
    </x:row>
    <x:row r="154">
      <x:c r="A154" s="16" t="n">
        <x:v>153</x:v>
      </x:c>
      <x:c r="B154" s="14" t="str">
        <x:v>常量</x:v>
      </x:c>
      <x:c r="C154" s="14" t="str">
        <x:v>LIQUIDATION_FEE_RECEIVER_FACTOR</x:v>
      </x:c>
      <x:c r="D154" s="14" t="str">
        <x:v>LIQUIDATION_FEE_RECEIVER_FACTOR</x:v>
      </x:c>
      <x:c r="E154" s="14" t="str">
        <x:v>LIQUIDATION_FEE_RECEIVER_FACTOR</x:v>
      </x:c>
      <x:c r="F154" s="14" t="str">
        <x:v>⁠0x218f21fe1eab2a2eb76441fd0510d8588f02b2e2d2b3d63ded1f7ca0c565258b</x:v>
      </x:c>
      <x:c r="G154" s="14" t="str">
        <x:v>abiEncode</x:v>
      </x:c>
      <x:c r="H154" s="14" t="str"/>
      <x:c r="I154" s="14" t="str">
        <x:v>uint</x:v>
      </x:c>
      <x:c r="J154" s="14" t="str">
        <x:v>global/raw</x:v>
      </x:c>
      <x:c r="K154" s="16" t="str">
        <x:v>是</x:v>
      </x:c>
      <x:c r="L154" s="16" t="str">
        <x:v>否</x:v>
      </x:c>
      <x:c r="M154" s="14" t="str">
        <x:v>Config(CONFIG_KEEPER)</x:v>
      </x:c>
      <x:c r="N154" s="14" t="str">
        <x:v>沿用/见变更表</x:v>
      </x:c>
      <x:c r="O154" s="14" t="str">
        <x:v>FX100Keys.sol / Config.sol / registry-v0.3.2.json</x:v>
      </x:c>
    </x:row>
    <x:row r="155">
      <x:c r="A155" s="16" t="n">
        <x:v>154</x:v>
      </x:c>
      <x:c r="B155" s="14" t="str">
        <x:v>常量</x:v>
      </x:c>
      <x:c r="C155" s="14" t="str">
        <x:v>SWAP_FEE_RECEIVER_FACTOR</x:v>
      </x:c>
      <x:c r="D155" s="14" t="str">
        <x:v>SWAP_FEE_RECEIVER_FACTOR</x:v>
      </x:c>
      <x:c r="E155" s="14" t="str">
        <x:v>SWAP_FEE_RECEIVER_FACTOR</x:v>
      </x:c>
      <x:c r="F155" s="14" t="str">
        <x:v>⁠0x450288e023dbbe63a71a796f03a9669531263914bcda347e99028b1f1fc46c83</x:v>
      </x:c>
      <x:c r="G155" s="14" t="str">
        <x:v>abiEncode</x:v>
      </x:c>
      <x:c r="H155" s="14" t="str"/>
      <x:c r="I155" s="14" t="str"/>
      <x:c r="J155" s="14" t="str">
        <x:v>global/raw</x:v>
      </x:c>
      <x:c r="K155" s="16" t="str">
        <x:v>是</x:v>
      </x:c>
      <x:c r="L155" s="16" t="str">
        <x:v>否</x:v>
      </x:c>
      <x:c r="M155" s="14" t="str">
        <x:v>Config(CONFIG_KEEPER)</x:v>
      </x:c>
      <x:c r="N155" s="14" t="str">
        <x:v>沿用/见变更表</x:v>
      </x:c>
      <x:c r="O155" s="14" t="str">
        <x:v>FX100Keys.sol / Config.sol / registry-v0.3.2.json</x:v>
      </x:c>
    </x:row>
    <x:row r="156">
      <x:c r="A156" s="16" t="n">
        <x:v>155</x:v>
      </x:c>
      <x:c r="B156" s="14" t="str">
        <x:v>常量</x:v>
      </x:c>
      <x:c r="C156" s="14" t="str">
        <x:v>BORROWING_FEE_RECEIVER_FACTOR</x:v>
      </x:c>
      <x:c r="D156" s="14" t="str">
        <x:v>BORROWING_FEE_RECEIVER_FACTOR</x:v>
      </x:c>
      <x:c r="E156" s="14" t="str">
        <x:v>BORROWING_FEE_RECEIVER_FACTOR</x:v>
      </x:c>
      <x:c r="F156" s="14" t="str">
        <x:v>⁠0x174a3ec23a145772d821721199b827025a0b7e3f95163596932ed2239f6d3e11</x:v>
      </x:c>
      <x:c r="G156" s="14" t="str">
        <x:v>abiEncode</x:v>
      </x:c>
      <x:c r="H156" s="14" t="str"/>
      <x:c r="I156" s="14" t="str"/>
      <x:c r="J156" s="14" t="str">
        <x:v>global/raw</x:v>
      </x:c>
      <x:c r="K156" s="16" t="str">
        <x:v>是</x:v>
      </x:c>
      <x:c r="L156" s="16" t="str">
        <x:v>否</x:v>
      </x:c>
      <x:c r="M156" s="14" t="str">
        <x:v>Config(CONFIG_KEEPER)</x:v>
      </x:c>
      <x:c r="N156" s="14" t="str">
        <x:v>沿用/见变更表</x:v>
      </x:c>
      <x:c r="O156" s="14" t="str">
        <x:v>FX100Keys.sol / Config.sol / registry-v0.3.2.json</x:v>
      </x:c>
    </x:row>
    <x:row r="157">
      <x:c r="A157" s="16" t="n">
        <x:v>156</x:v>
      </x:c>
      <x:c r="B157" s="14" t="str">
        <x:v>常量</x:v>
      </x:c>
      <x:c r="C157" s="14" t="str">
        <x:v>ESTIMATED_GAS_FEE_BASE_AMOUNT_V2_1</x:v>
      </x:c>
      <x:c r="D157" s="14" t="str">
        <x:v>ESTIMATED_GAS_FEE_BASE_AMOUNT_V2_1</x:v>
      </x:c>
      <x:c r="E157" s="14" t="str">
        <x:v>ESTIMATED_GAS_FEE_BASE_AMOUNT_V2_1</x:v>
      </x:c>
      <x:c r="F157" s="14" t="str">
        <x:v>⁠0x39288f227e5db9a793e9f4afb15aa22b77dbb7e410ffc973c816a19a6ed921cd</x:v>
      </x:c>
      <x:c r="G157" s="14" t="str">
        <x:v>abiEncode</x:v>
      </x:c>
      <x:c r="H157" s="14" t="str"/>
      <x:c r="I157" s="14" t="str">
        <x:v>uint</x:v>
      </x:c>
      <x:c r="J157" s="14" t="str">
        <x:v>global/raw</x:v>
      </x:c>
      <x:c r="K157" s="16" t="str">
        <x:v>是</x:v>
      </x:c>
      <x:c r="L157" s="16" t="str">
        <x:v>是</x:v>
      </x:c>
      <x:c r="M157" s="14" t="str">
        <x:v>Config(CONFIG_KEEPER) / Config(LIMITED_CONFIG_KEEPER)</x:v>
      </x:c>
      <x:c r="N157" s="14" t="str">
        <x:v>沿用/见变更表</x:v>
      </x:c>
      <x:c r="O157" s="14" t="str">
        <x:v>FX100Keys.sol / Config.sol / registry-v0.3.2.json</x:v>
      </x:c>
    </x:row>
    <x:row r="158">
      <x:c r="A158" s="16" t="n">
        <x:v>157</x:v>
      </x:c>
      <x:c r="B158" s="14" t="str">
        <x:v>常量</x:v>
      </x:c>
      <x:c r="C158" s="14" t="str">
        <x:v>ESTIMATED_GAS_FEE_PER_ORACLE_PRICE</x:v>
      </x:c>
      <x:c r="D158" s="14" t="str">
        <x:v>ESTIMATED_GAS_FEE_PER_ORACLE_PRICE</x:v>
      </x:c>
      <x:c r="E158" s="14" t="str">
        <x:v>ESTIMATED_GAS_FEE_PER_ORACLE_PRICE</x:v>
      </x:c>
      <x:c r="F158" s="14" t="str">
        <x:v>⁠0xf95915378e4358fb5f51ae0fd75853a15a29a978eb14b73d5c5b7d69d3b9fccc</x:v>
      </x:c>
      <x:c r="G158" s="14" t="str">
        <x:v>abiEncode</x:v>
      </x:c>
      <x:c r="H158" s="14" t="str"/>
      <x:c r="I158" s="14" t="str">
        <x:v>uint</x:v>
      </x:c>
      <x:c r="J158" s="14" t="str">
        <x:v>global/raw</x:v>
      </x:c>
      <x:c r="K158" s="16" t="str">
        <x:v>是</x:v>
      </x:c>
      <x:c r="L158" s="16" t="str">
        <x:v>是</x:v>
      </x:c>
      <x:c r="M158" s="14" t="str">
        <x:v>Config(CONFIG_KEEPER) / Config(LIMITED_CONFIG_KEEPER)</x:v>
      </x:c>
      <x:c r="N158" s="14" t="str">
        <x:v>沿用/见变更表</x:v>
      </x:c>
      <x:c r="O158" s="14" t="str">
        <x:v>FX100Keys.sol / Config.sol / registry-v0.3.2.json</x:v>
      </x:c>
    </x:row>
    <x:row r="159">
      <x:c r="A159" s="16" t="n">
        <x:v>158</x:v>
      </x:c>
      <x:c r="B159" s="14" t="str">
        <x:v>常量</x:v>
      </x:c>
      <x:c r="C159" s="14" t="str">
        <x:v>ESTIMATED_GAS_FEE_MULTIPLIER_FACTOR</x:v>
      </x:c>
      <x:c r="D159" s="14" t="str">
        <x:v>ESTIMATED_GAS_FEE_MULTIPLIER_FACTOR</x:v>
      </x:c>
      <x:c r="E159" s="14" t="str">
        <x:v>ESTIMATED_GAS_FEE_MULTIPLIER_FACTOR</x:v>
      </x:c>
      <x:c r="F159" s="14" t="str">
        <x:v>⁠0xce135f2a886cf6d862269f215b1e64498fa09cb04f90b771b163399df2a82b81</x:v>
      </x:c>
      <x:c r="G159" s="14" t="str">
        <x:v>abiEncode</x:v>
      </x:c>
      <x:c r="H159" s="14" t="str"/>
      <x:c r="I159" s="14" t="str">
        <x:v>uint</x:v>
      </x:c>
      <x:c r="J159" s="14" t="str">
        <x:v>global/raw</x:v>
      </x:c>
      <x:c r="K159" s="16" t="str">
        <x:v>是</x:v>
      </x:c>
      <x:c r="L159" s="16" t="str">
        <x:v>是</x:v>
      </x:c>
      <x:c r="M159" s="14" t="str">
        <x:v>Config(CONFIG_KEEPER) / Config(LIMITED_CONFIG_KEEPER)</x:v>
      </x:c>
      <x:c r="N159" s="14" t="str">
        <x:v>沿用/见变更表</x:v>
      </x:c>
      <x:c r="O159" s="14" t="str">
        <x:v>FX100Keys.sol / Config.sol / registry-v0.3.2.json</x:v>
      </x:c>
    </x:row>
    <x:row r="160">
      <x:c r="A160" s="16" t="n">
        <x:v>159</x:v>
      </x:c>
      <x:c r="B160" s="14" t="str">
        <x:v>常量</x:v>
      </x:c>
      <x:c r="C160" s="14" t="str">
        <x:v>EXECUTION_GAS_FEE_BASE_AMOUNT_V2_1</x:v>
      </x:c>
      <x:c r="D160" s="14" t="str">
        <x:v>EXECUTION_GAS_FEE_BASE_AMOUNT_V2_1</x:v>
      </x:c>
      <x:c r="E160" s="14" t="str">
        <x:v>EXECUTION_GAS_FEE_BASE_AMOUNT_V2_1</x:v>
      </x:c>
      <x:c r="F160" s="14" t="str">
        <x:v>⁠0x3f6fa256a0f23dcedf39a71b69828f9f2798c96ed183ecac67a1f77a2a8053f4</x:v>
      </x:c>
      <x:c r="G160" s="14" t="str">
        <x:v>abiEncode</x:v>
      </x:c>
      <x:c r="H160" s="14" t="str"/>
      <x:c r="I160" s="14" t="str">
        <x:v>uint</x:v>
      </x:c>
      <x:c r="J160" s="14" t="str">
        <x:v>global/raw</x:v>
      </x:c>
      <x:c r="K160" s="16" t="str">
        <x:v>是</x:v>
      </x:c>
      <x:c r="L160" s="16" t="str">
        <x:v>是</x:v>
      </x:c>
      <x:c r="M160" s="14" t="str">
        <x:v>Config(CONFIG_KEEPER) / Config(LIMITED_CONFIG_KEEPER)</x:v>
      </x:c>
      <x:c r="N160" s="14" t="str">
        <x:v>沿用/见变更表</x:v>
      </x:c>
      <x:c r="O160" s="14" t="str">
        <x:v>FX100Keys.sol / Config.sol / registry-v0.3.2.json</x:v>
      </x:c>
    </x:row>
    <x:row r="161">
      <x:c r="A161" s="16" t="n">
        <x:v>160</x:v>
      </x:c>
      <x:c r="B161" s="14" t="str">
        <x:v>常量</x:v>
      </x:c>
      <x:c r="C161" s="14" t="str">
        <x:v>EXECUTION_GAS_FEE_PER_ORACLE_PRICE</x:v>
      </x:c>
      <x:c r="D161" s="14" t="str">
        <x:v>EXECUTION_GAS_FEE_PER_ORACLE_PRICE</x:v>
      </x:c>
      <x:c r="E161" s="14" t="str">
        <x:v>EXECUTION_GAS_FEE_PER_ORACLE_PRICE</x:v>
      </x:c>
      <x:c r="F161" s="14" t="str">
        <x:v>⁠0x335c1af4f0f3344a478b67aff6e7d3dc526f6aafe3dbd1ba2198c772551210cb</x:v>
      </x:c>
      <x:c r="G161" s="14" t="str">
        <x:v>abiEncode</x:v>
      </x:c>
      <x:c r="H161" s="14" t="str"/>
      <x:c r="I161" s="14" t="str">
        <x:v>uint</x:v>
      </x:c>
      <x:c r="J161" s="14" t="str">
        <x:v>global/raw</x:v>
      </x:c>
      <x:c r="K161" s="16" t="str">
        <x:v>是</x:v>
      </x:c>
      <x:c r="L161" s="16" t="str">
        <x:v>是</x:v>
      </x:c>
      <x:c r="M161" s="14" t="str">
        <x:v>Config(CONFIG_KEEPER) / Config(LIMITED_CONFIG_KEEPER)</x:v>
      </x:c>
      <x:c r="N161" s="14" t="str">
        <x:v>沿用/见变更表</x:v>
      </x:c>
      <x:c r="O161" s="14" t="str">
        <x:v>FX100Keys.sol / Config.sol / registry-v0.3.2.json</x:v>
      </x:c>
    </x:row>
    <x:row r="162">
      <x:c r="A162" s="16" t="n">
        <x:v>161</x:v>
      </x:c>
      <x:c r="B162" s="14" t="str">
        <x:v>常量</x:v>
      </x:c>
      <x:c r="C162" s="14" t="str">
        <x:v>EXECUTION_GAS_FEE_MULTIPLIER_FACTOR</x:v>
      </x:c>
      <x:c r="D162" s="14" t="str">
        <x:v>EXECUTION_GAS_FEE_MULTIPLIER_FACTOR</x:v>
      </x:c>
      <x:c r="E162" s="14" t="str">
        <x:v>EXECUTION_GAS_FEE_MULTIPLIER_FACTOR</x:v>
      </x:c>
      <x:c r="F162" s="14" t="str">
        <x:v>⁠0x65b1cbab23a5e24597a3d4e2966e0205be2ea573a0eab06be214d7e63488148f</x:v>
      </x:c>
      <x:c r="G162" s="14" t="str">
        <x:v>abiEncode</x:v>
      </x:c>
      <x:c r="H162" s="14" t="str"/>
      <x:c r="I162" s="14" t="str">
        <x:v>uint</x:v>
      </x:c>
      <x:c r="J162" s="14" t="str">
        <x:v>global/raw</x:v>
      </x:c>
      <x:c r="K162" s="16" t="str">
        <x:v>是</x:v>
      </x:c>
      <x:c r="L162" s="16" t="str">
        <x:v>是</x:v>
      </x:c>
      <x:c r="M162" s="14" t="str">
        <x:v>Config(CONFIG_KEEPER) / Config(LIMITED_CONFIG_KEEPER)</x:v>
      </x:c>
      <x:c r="N162" s="14" t="str">
        <x:v>沿用/见变更表</x:v>
      </x:c>
      <x:c r="O162" s="14" t="str">
        <x:v>FX100Keys.sol / Config.sol / registry-v0.3.2.json</x:v>
      </x:c>
    </x:row>
    <x:row r="163">
      <x:c r="A163" s="16" t="n">
        <x:v>162</x:v>
      </x:c>
      <x:c r="B163" s="14" t="str">
        <x:v>常量</x:v>
      </x:c>
      <x:c r="C163" s="14" t="str">
        <x:v>MAX_EXECUTION_FEE_MULTIPLIER_FACTOR</x:v>
      </x:c>
      <x:c r="D163" s="14" t="str">
        <x:v>MAX_EXECUTION_FEE_MULTIPLIER_FACTOR</x:v>
      </x:c>
      <x:c r="E163" s="14" t="str">
        <x:v>MAX_EXECUTION_FEE_MULTIPLIER_FACTOR</x:v>
      </x:c>
      <x:c r="F163" s="14" t="str">
        <x:v>⁠0xa88c33e1f94a413dcabdfec9caed3610ecce198a0ab1ea4efcca7ca4199731ce</x:v>
      </x:c>
      <x:c r="G163" s="14" t="str">
        <x:v>abiEncode</x:v>
      </x:c>
      <x:c r="H163" s="14" t="str"/>
      <x:c r="I163" s="14" t="str">
        <x:v>uint</x:v>
      </x:c>
      <x:c r="J163" s="14" t="str">
        <x:v>global/raw</x:v>
      </x:c>
      <x:c r="K163" s="16" t="str">
        <x:v>是</x:v>
      </x:c>
      <x:c r="L163" s="16" t="str">
        <x:v>否</x:v>
      </x:c>
      <x:c r="M163" s="14" t="str">
        <x:v>Config(CONFIG_KEEPER)</x:v>
      </x:c>
      <x:c r="N163" s="14" t="str">
        <x:v>沿用/见变更表</x:v>
      </x:c>
      <x:c r="O163" s="14" t="str">
        <x:v>FX100Keys.sol / Config.sol / registry-v0.3.2.json</x:v>
      </x:c>
    </x:row>
    <x:row r="164">
      <x:c r="A164" s="16" t="n">
        <x:v>163</x:v>
      </x:c>
      <x:c r="B164" s="14" t="str">
        <x:v>常量</x:v>
      </x:c>
      <x:c r="C164" s="14" t="str">
        <x:v>MAX_RELAY_FEE_SWAP_USD_FOR_SUBACCOUNT</x:v>
      </x:c>
      <x:c r="D164" s="14" t="str">
        <x:v>MAX_RELAY_FEE_SWAP_USD_FOR_SUBACCOUNT</x:v>
      </x:c>
      <x:c r="E164" s="14" t="str">
        <x:v>MAX_RELAY_FEE_SWAP_USD_FOR_SUBACCOUNT</x:v>
      </x:c>
      <x:c r="F164" s="14" t="str">
        <x:v>⁠0xb63bc7370967dcd0d91108a8ca9b680c0c464fc385aabe225d66dddec92a256f</x:v>
      </x:c>
      <x:c r="G164" s="14" t="str">
        <x:v>abiEncode</x:v>
      </x:c>
      <x:c r="H164" s="14" t="str"/>
      <x:c r="I164" s="14" t="str"/>
      <x:c r="J164" s="14" t="str">
        <x:v>global/raw</x:v>
      </x:c>
      <x:c r="K164" s="16" t="str">
        <x:v>是</x:v>
      </x:c>
      <x:c r="L164" s="16" t="str">
        <x:v>否</x:v>
      </x:c>
      <x:c r="M164" s="14" t="str">
        <x:v>Config(CONFIG_KEEPER)</x:v>
      </x:c>
      <x:c r="N164" s="14" t="str">
        <x:v>沿用/见变更表</x:v>
      </x:c>
      <x:c r="O164" s="14" t="str">
        <x:v>FX100Keys.sol / Config.sol / registry-v0.3.2.json</x:v>
      </x:c>
    </x:row>
    <x:row r="165">
      <x:c r="A165" s="16" t="n">
        <x:v>164</x:v>
      </x:c>
      <x:c r="B165" s="14" t="str">
        <x:v>常量</x:v>
      </x:c>
      <x:c r="C165" s="14" t="str">
        <x:v>MAX_RELAY_SWAP_WNT_CAP</x:v>
      </x:c>
      <x:c r="D165" s="14" t="str">
        <x:v>MAX_RELAY_SWAP_WNT_CAP</x:v>
      </x:c>
      <x:c r="E165" s="14" t="str">
        <x:v>MAX_RELAY_SWAP_WNT_CAP</x:v>
      </x:c>
      <x:c r="F165" s="14" t="str">
        <x:v>⁠0x8400beecb6c4fc4127a8126e817c049e5138747a91a2e63edd8b9b0c32de20c3</x:v>
      </x:c>
      <x:c r="G165" s="14" t="str">
        <x:v>abiEncode</x:v>
      </x:c>
      <x:c r="H165" s="14" t="str"/>
      <x:c r="I165" s="14" t="str">
        <x:v>uint</x:v>
      </x:c>
      <x:c r="J165" s="14" t="str">
        <x:v>global/raw</x:v>
      </x:c>
      <x:c r="K165" s="16" t="str">
        <x:v>是</x:v>
      </x:c>
      <x:c r="L165" s="16" t="str">
        <x:v>否</x:v>
      </x:c>
      <x:c r="M165" s="14" t="str">
        <x:v>Config(CONFIG_KEEPER)</x:v>
      </x:c>
      <x:c r="N165" s="14" t="str">
        <x:v>沿用/见变更表</x:v>
      </x:c>
      <x:c r="O165" s="14" t="str">
        <x:v>FX100Keys.sol / Config.sol / registry-v0.3.2.json</x:v>
      </x:c>
    </x:row>
    <x:row r="166">
      <x:c r="A166" s="16" t="n">
        <x:v>165</x:v>
      </x:c>
      <x:c r="B166" s="14" t="str">
        <x:v>常量</x:v>
      </x:c>
      <x:c r="C166" s="14" t="str">
        <x:v>RELAY_FEE_MULTIPLIER_FACTOR</x:v>
      </x:c>
      <x:c r="D166" s="14" t="str">
        <x:v>RELAY_FEE_MULTIPLIER_FACTOR</x:v>
      </x:c>
      <x:c r="E166" s="14" t="str">
        <x:v>RELAY_FEE_MULTIPLIER_FACTOR</x:v>
      </x:c>
      <x:c r="F166" s="14" t="str">
        <x:v>⁠0x8acb85545a5e09619f8bcae781cd0e24a785f6ccdb6b7e0428048ab2ca762555</x:v>
      </x:c>
      <x:c r="G166" s="14" t="str">
        <x:v>abiEncode</x:v>
      </x:c>
      <x:c r="H166" s="14" t="str"/>
      <x:c r="I166" s="14" t="str">
        <x:v>uint</x:v>
      </x:c>
      <x:c r="J166" s="14" t="str">
        <x:v>global/raw</x:v>
      </x:c>
      <x:c r="K166" s="16" t="str">
        <x:v>是</x:v>
      </x:c>
      <x:c r="L166" s="16" t="str">
        <x:v>否</x:v>
      </x:c>
      <x:c r="M166" s="14" t="str">
        <x:v>Config(CONFIG_KEEPER)</x:v>
      </x:c>
      <x:c r="N166" s="14" t="str">
        <x:v>沿用/见变更表</x:v>
      </x:c>
      <x:c r="O166" s="14" t="str">
        <x:v>FX100Keys.sol / Config.sol / registry-v0.3.2.json</x:v>
      </x:c>
    </x:row>
    <x:row r="167">
      <x:c r="A167" s="16" t="n">
        <x:v>166</x:v>
      </x:c>
      <x:c r="B167" s="14" t="str">
        <x:v>常量</x:v>
      </x:c>
      <x:c r="C167" s="14" t="str">
        <x:v>RELAY_FEE_BASE_GAS_LIMIT</x:v>
      </x:c>
      <x:c r="D167" s="14" t="str">
        <x:v>RELAY_FEE_BASE_GAS_LIMIT</x:v>
      </x:c>
      <x:c r="E167" s="14" t="str">
        <x:v>RELAY_FEE_BASE_GAS_LIMIT</x:v>
      </x:c>
      <x:c r="F167" s="14" t="str">
        <x:v>⁠0xd4dfe3d351f800442b0b50da17280a4272d7309014ae9a0eb7811c3823a56a26</x:v>
      </x:c>
      <x:c r="G167" s="14" t="str">
        <x:v>abiEncode</x:v>
      </x:c>
      <x:c r="H167" s="14" t="str"/>
      <x:c r="I167" s="14" t="str">
        <x:v>uint</x:v>
      </x:c>
      <x:c r="J167" s="14" t="str">
        <x:v>global/raw</x:v>
      </x:c>
      <x:c r="K167" s="16" t="str">
        <x:v>是</x:v>
      </x:c>
      <x:c r="L167" s="16" t="str">
        <x:v>否</x:v>
      </x:c>
      <x:c r="M167" s="14" t="str">
        <x:v>Config(CONFIG_KEEPER)</x:v>
      </x:c>
      <x:c r="N167" s="14" t="str">
        <x:v>沿用/见变更表</x:v>
      </x:c>
      <x:c r="O167" s="14" t="str">
        <x:v>FX100Keys.sol / Config.sol / registry-v0.3.2.json</x:v>
      </x:c>
    </x:row>
    <x:row r="168">
      <x:c r="A168" s="16" t="n">
        <x:v>167</x:v>
      </x:c>
      <x:c r="B168" s="14" t="str">
        <x:v>常量</x:v>
      </x:c>
      <x:c r="C168" s="14" t="str">
        <x:v>CREATE_DEPOSIT_GAS_LIMIT</x:v>
      </x:c>
      <x:c r="D168" s="14" t="str">
        <x:v>CREATE_DEPOSIT_GAS_LIMIT</x:v>
      </x:c>
      <x:c r="E168" s="14" t="str">
        <x:v>CREATE_DEPOSIT_GAS_LIMIT</x:v>
      </x:c>
      <x:c r="F168" s="14" t="str">
        <x:v>⁠0x2720ebeb701a49a5605425375f4977acb840137a105f7f78b74cac51ccc81cec</x:v>
      </x:c>
      <x:c r="G168" s="14" t="str">
        <x:v>abiEncode</x:v>
      </x:c>
      <x:c r="H168" s="14" t="str"/>
      <x:c r="I168" s="14" t="str"/>
      <x:c r="J168" s="14" t="str">
        <x:v>global/raw</x:v>
      </x:c>
      <x:c r="K168" s="16" t="str">
        <x:v>是</x:v>
      </x:c>
      <x:c r="L168" s="16" t="str">
        <x:v>否</x:v>
      </x:c>
      <x:c r="M168" s="14" t="str">
        <x:v>Config(CONFIG_KEEPER)</x:v>
      </x:c>
      <x:c r="N168" s="14" t="str">
        <x:v>沿用/见变更表</x:v>
      </x:c>
      <x:c r="O168" s="14" t="str">
        <x:v>FX100Keys.sol / Config.sol / registry-v0.3.2.json</x:v>
      </x:c>
    </x:row>
    <x:row r="169">
      <x:c r="A169" s="16" t="n">
        <x:v>168</x:v>
      </x:c>
      <x:c r="B169" s="14" t="str">
        <x:v>常量</x:v>
      </x:c>
      <x:c r="C169" s="14" t="str">
        <x:v>DEPOSIT_GAS_LIMIT</x:v>
      </x:c>
      <x:c r="D169" s="14" t="str">
        <x:v>DEPOSIT_GAS_LIMIT</x:v>
      </x:c>
      <x:c r="E169" s="14" t="str">
        <x:v>DEPOSIT_GAS_LIMIT</x:v>
      </x:c>
      <x:c r="F169" s="14" t="str">
        <x:v>⁠0x584e21a67b50948de3f8d83d0226c3568896d123cdbe7a46d824d0f48aabf184</x:v>
      </x:c>
      <x:c r="G169" s="14" t="str">
        <x:v>abiEncode</x:v>
      </x:c>
      <x:c r="H169" s="14" t="str"/>
      <x:c r="I169" s="14" t="str"/>
      <x:c r="J169" s="14" t="str">
        <x:v>global/raw</x:v>
      </x:c>
      <x:c r="K169" s="16" t="str">
        <x:v>是</x:v>
      </x:c>
      <x:c r="L169" s="16" t="str">
        <x:v>否</x:v>
      </x:c>
      <x:c r="M169" s="14" t="str">
        <x:v>Config(CONFIG_KEEPER)</x:v>
      </x:c>
      <x:c r="N169" s="14" t="str">
        <x:v>沿用/见变更表</x:v>
      </x:c>
      <x:c r="O169" s="14" t="str">
        <x:v>FX100Keys.sol / Config.sol / registry-v0.3.2.json</x:v>
      </x:c>
    </x:row>
    <x:row r="170">
      <x:c r="A170" s="16" t="n">
        <x:v>169</x:v>
      </x:c>
      <x:c r="B170" s="14" t="str">
        <x:v>常量</x:v>
      </x:c>
      <x:c r="C170" s="14" t="str">
        <x:v>CREATE_WITHDRAWAL_GAS_LIMIT</x:v>
      </x:c>
      <x:c r="D170" s="14" t="str">
        <x:v>CREATE_WITHDRAWAL_GAS_LIMIT</x:v>
      </x:c>
      <x:c r="E170" s="14" t="str">
        <x:v>CREATE_WITHDRAWAL_GAS_LIMIT</x:v>
      </x:c>
      <x:c r="F170" s="14" t="str">
        <x:v>⁠0x06c83fd46ee00458249657285f6f9d9023b9d5206e056eaf71c1969e68b6d6c7</x:v>
      </x:c>
      <x:c r="G170" s="14" t="str">
        <x:v>abiEncode</x:v>
      </x:c>
      <x:c r="H170" s="14" t="str"/>
      <x:c r="I170" s="14" t="str"/>
      <x:c r="J170" s="14" t="str">
        <x:v>global/raw</x:v>
      </x:c>
      <x:c r="K170" s="16" t="str">
        <x:v>是</x:v>
      </x:c>
      <x:c r="L170" s="16" t="str">
        <x:v>否</x:v>
      </x:c>
      <x:c r="M170" s="14" t="str">
        <x:v>Config(CONFIG_KEEPER)</x:v>
      </x:c>
      <x:c r="N170" s="14" t="str">
        <x:v>沿用/见变更表</x:v>
      </x:c>
      <x:c r="O170" s="14" t="str">
        <x:v>FX100Keys.sol / Config.sol / registry-v0.3.2.json</x:v>
      </x:c>
    </x:row>
    <x:row r="171">
      <x:c r="A171" s="16" t="n">
        <x:v>170</x:v>
      </x:c>
      <x:c r="B171" s="14" t="str">
        <x:v>常量</x:v>
      </x:c>
      <x:c r="C171" s="14" t="str">
        <x:v>WITHDRAWAL_GAS_LIMIT</x:v>
      </x:c>
      <x:c r="D171" s="14" t="str">
        <x:v>WITHDRAWAL_GAS_LIMIT</x:v>
      </x:c>
      <x:c r="E171" s="14" t="str">
        <x:v>WITHDRAWAL_GAS_LIMIT</x:v>
      </x:c>
      <x:c r="F171" s="14" t="str">
        <x:v>⁠0x2e365620be682b0eaff6521339d5f4a7d6a1c118d9766dad390735f03b07b738</x:v>
      </x:c>
      <x:c r="G171" s="14" t="str">
        <x:v>abiEncode</x:v>
      </x:c>
      <x:c r="H171" s="14" t="str"/>
      <x:c r="I171" s="14" t="str"/>
      <x:c r="J171" s="14" t="str">
        <x:v>global/raw</x:v>
      </x:c>
      <x:c r="K171" s="16" t="str">
        <x:v>是</x:v>
      </x:c>
      <x:c r="L171" s="16" t="str">
        <x:v>否</x:v>
      </x:c>
      <x:c r="M171" s="14" t="str">
        <x:v>Config(CONFIG_KEEPER)</x:v>
      </x:c>
      <x:c r="N171" s="14" t="str">
        <x:v>沿用/见变更表</x:v>
      </x:c>
      <x:c r="O171" s="14" t="str">
        <x:v>FX100Keys.sol / Config.sol / registry-v0.3.2.json</x:v>
      </x:c>
    </x:row>
    <x:row r="172">
      <x:c r="A172" s="16" t="n">
        <x:v>171</x:v>
      </x:c>
      <x:c r="B172" s="14" t="str">
        <x:v>常量</x:v>
      </x:c>
      <x:c r="C172" s="14" t="str">
        <x:v>SINGLE_SWAP_GAS_LIMIT</x:v>
      </x:c>
      <x:c r="D172" s="14" t="str">
        <x:v>SINGLE_SWAP_GAS_LIMIT</x:v>
      </x:c>
      <x:c r="E172" s="14" t="str">
        <x:v>SINGLE_SWAP_GAS_LIMIT</x:v>
      </x:c>
      <x:c r="F172" s="14" t="str">
        <x:v>⁠0x3be28fb346f7abc4a956a16d3739c8c4bfcca9385988c64bf86cdd16638c1f81</x:v>
      </x:c>
      <x:c r="G172" s="14" t="str">
        <x:v>abiEncode</x:v>
      </x:c>
      <x:c r="H172" s="14" t="str"/>
      <x:c r="I172" s="14" t="str"/>
      <x:c r="J172" s="14" t="str">
        <x:v>global/raw</x:v>
      </x:c>
      <x:c r="K172" s="16" t="str">
        <x:v>是</x:v>
      </x:c>
      <x:c r="L172" s="16" t="str">
        <x:v>否</x:v>
      </x:c>
      <x:c r="M172" s="14" t="str">
        <x:v>Config(CONFIG_KEEPER)</x:v>
      </x:c>
      <x:c r="N172" s="14" t="str">
        <x:v>沿用/见变更表</x:v>
      </x:c>
      <x:c r="O172" s="14" t="str">
        <x:v>FX100Keys.sol / Config.sol / registry-v0.3.2.json</x:v>
      </x:c>
    </x:row>
    <x:row r="173">
      <x:c r="A173" s="16" t="n">
        <x:v>172</x:v>
      </x:c>
      <x:c r="B173" s="14" t="str">
        <x:v>常量</x:v>
      </x:c>
      <x:c r="C173" s="14" t="str">
        <x:v>INCREASE_ORDER_GAS_LIMIT</x:v>
      </x:c>
      <x:c r="D173" s="14" t="str">
        <x:v>INCREASE_ORDER_GAS_LIMIT</x:v>
      </x:c>
      <x:c r="E173" s="14" t="str">
        <x:v>INCREASE_ORDER_GAS_LIMIT</x:v>
      </x:c>
      <x:c r="F173" s="14" t="str">
        <x:v>⁠0x983e0a7f5307213e84497f2543331fe5e404db14ddf98f98dc956e0ee3ab6875</x:v>
      </x:c>
      <x:c r="G173" s="14" t="str">
        <x:v>abiEncode</x:v>
      </x:c>
      <x:c r="H173" s="14" t="str"/>
      <x:c r="I173" s="14" t="str">
        <x:v>uint</x:v>
      </x:c>
      <x:c r="J173" s="14" t="str">
        <x:v>global/raw</x:v>
      </x:c>
      <x:c r="K173" s="16" t="str">
        <x:v>是</x:v>
      </x:c>
      <x:c r="L173" s="16" t="str">
        <x:v>否</x:v>
      </x:c>
      <x:c r="M173" s="14" t="str">
        <x:v>Config(CONFIG_KEEPER)</x:v>
      </x:c>
      <x:c r="N173" s="14" t="str">
        <x:v>沿用/见变更表</x:v>
      </x:c>
      <x:c r="O173" s="14" t="str">
        <x:v>FX100Keys.sol / Config.sol / registry-v0.3.2.json</x:v>
      </x:c>
    </x:row>
    <x:row r="174">
      <x:c r="A174" s="16" t="n">
        <x:v>173</x:v>
      </x:c>
      <x:c r="B174" s="14" t="str">
        <x:v>常量</x:v>
      </x:c>
      <x:c r="C174" s="14" t="str">
        <x:v>DECREASE_ORDER_GAS_LIMIT</x:v>
      </x:c>
      <x:c r="D174" s="14" t="str">
        <x:v>DECREASE_ORDER_GAS_LIMIT</x:v>
      </x:c>
      <x:c r="E174" s="14" t="str">
        <x:v>DECREASE_ORDER_GAS_LIMIT</x:v>
      </x:c>
      <x:c r="F174" s="14" t="str">
        <x:v>⁠0xfce7a3444b72c2d30987163c1f2e6c00cffa03bf0b6ca2f077e8db006b4cae8b</x:v>
      </x:c>
      <x:c r="G174" s="14" t="str">
        <x:v>abiEncode</x:v>
      </x:c>
      <x:c r="H174" s="14" t="str"/>
      <x:c r="I174" s="14" t="str">
        <x:v>uint</x:v>
      </x:c>
      <x:c r="J174" s="14" t="str">
        <x:v>global/raw</x:v>
      </x:c>
      <x:c r="K174" s="16" t="str">
        <x:v>是</x:v>
      </x:c>
      <x:c r="L174" s="16" t="str">
        <x:v>否</x:v>
      </x:c>
      <x:c r="M174" s="14" t="str">
        <x:v>Config(CONFIG_KEEPER)</x:v>
      </x:c>
      <x:c r="N174" s="14" t="str">
        <x:v>沿用/见变更表</x:v>
      </x:c>
      <x:c r="O174" s="14" t="str">
        <x:v>FX100Keys.sol / Config.sol / registry-v0.3.2.json</x:v>
      </x:c>
    </x:row>
    <x:row r="175">
      <x:c r="A175" s="16" t="n">
        <x:v>174</x:v>
      </x:c>
      <x:c r="B175" s="14" t="str">
        <x:v>常量</x:v>
      </x:c>
      <x:c r="C175" s="14" t="str">
        <x:v>SWAP_ORDER_GAS_LIMIT</x:v>
      </x:c>
      <x:c r="D175" s="14" t="str">
        <x:v>SWAP_ORDER_GAS_LIMIT</x:v>
      </x:c>
      <x:c r="E175" s="14" t="str">
        <x:v>SWAP_ORDER_GAS_LIMIT</x:v>
      </x:c>
      <x:c r="F175" s="14" t="str">
        <x:v>⁠0x1df34600e0072da6588ec3a179142a668c6e62238ad3354a7d2a3ae665b50f5c</x:v>
      </x:c>
      <x:c r="G175" s="14" t="str">
        <x:v>abiEncode</x:v>
      </x:c>
      <x:c r="H175" s="14" t="str"/>
      <x:c r="I175" s="14" t="str"/>
      <x:c r="J175" s="14" t="str">
        <x:v>global/raw</x:v>
      </x:c>
      <x:c r="K175" s="16" t="str">
        <x:v>是</x:v>
      </x:c>
      <x:c r="L175" s="16" t="str">
        <x:v>否</x:v>
      </x:c>
      <x:c r="M175" s="14" t="str">
        <x:v>Config(CONFIG_KEEPER)</x:v>
      </x:c>
      <x:c r="N175" s="14" t="str">
        <x:v>沿用/见变更表</x:v>
      </x:c>
      <x:c r="O175" s="14" t="str">
        <x:v>FX100Keys.sol / Config.sol / registry-v0.3.2.json</x:v>
      </x:c>
    </x:row>
    <x:row r="176">
      <x:c r="A176" s="16" t="n">
        <x:v>175</x:v>
      </x:c>
      <x:c r="B176" s="14" t="str">
        <x:v>常量</x:v>
      </x:c>
      <x:c r="C176" s="14" t="str">
        <x:v>SET_TRADER_REFERRAL_CODE_GAS_LIMIT</x:v>
      </x:c>
      <x:c r="D176" s="14" t="str">
        <x:v>SET_TRADER_REFERRAL_CODE_GAS_LIMIT</x:v>
      </x:c>
      <x:c r="E176" s="14" t="str">
        <x:v>SET_TRADER_REFERRAL_CODE_GAS_LIMIT</x:v>
      </x:c>
      <x:c r="F176" s="14" t="str">
        <x:v>⁠0xf4c79b92861083d4db59428fce7ec170c718963a4e493929e1d90361b47ce9be</x:v>
      </x:c>
      <x:c r="G176" s="14" t="str">
        <x:v>abiEncode</x:v>
      </x:c>
      <x:c r="H176" s="14" t="str"/>
      <x:c r="I176" s="14" t="str">
        <x:v>uint</x:v>
      </x:c>
      <x:c r="J176" s="14" t="str">
        <x:v>global/raw</x:v>
      </x:c>
      <x:c r="K176" s="16" t="str">
        <x:v>是</x:v>
      </x:c>
      <x:c r="L176" s="16" t="str">
        <x:v>否</x:v>
      </x:c>
      <x:c r="M176" s="14" t="str">
        <x:v>Config(CONFIG_KEEPER)</x:v>
      </x:c>
      <x:c r="N176" s="14" t="str">
        <x:v>沿用/见变更表</x:v>
      </x:c>
      <x:c r="O176" s="14" t="str">
        <x:v>FX100Keys.sol / Config.sol / registry-v0.3.2.json</x:v>
      </x:c>
    </x:row>
    <x:row r="177">
      <x:c r="A177" s="16" t="n">
        <x:v>176</x:v>
      </x:c>
      <x:c r="B177" s="14" t="str">
        <x:v>常量</x:v>
      </x:c>
      <x:c r="C177" s="14" t="str">
        <x:v>REGISTER_CODE_GAS_LIMIT</x:v>
      </x:c>
      <x:c r="D177" s="14" t="str">
        <x:v>REGISTER_CODE_GAS_LIMIT</x:v>
      </x:c>
      <x:c r="E177" s="14" t="str">
        <x:v>REGISTER_CODE_GAS_LIMIT</x:v>
      </x:c>
      <x:c r="F177" s="14" t="str">
        <x:v>⁠0x712662605dc7e7cf1707a41e5cf1be7b6445aa979c8b257514364ba46e7b199f</x:v>
      </x:c>
      <x:c r="G177" s="14" t="str">
        <x:v>abiEncode</x:v>
      </x:c>
      <x:c r="H177" s="14" t="str"/>
      <x:c r="I177" s="14" t="str">
        <x:v>uint</x:v>
      </x:c>
      <x:c r="J177" s="14" t="str">
        <x:v>global/raw</x:v>
      </x:c>
      <x:c r="K177" s="16" t="str">
        <x:v>是</x:v>
      </x:c>
      <x:c r="L177" s="16" t="str">
        <x:v>否</x:v>
      </x:c>
      <x:c r="M177" s="14" t="str">
        <x:v>Config(CONFIG_KEEPER)</x:v>
      </x:c>
      <x:c r="N177" s="14" t="str">
        <x:v>沿用/见变更表</x:v>
      </x:c>
      <x:c r="O177" s="14" t="str">
        <x:v>FX100Keys.sol / Config.sol / registry-v0.3.2.json</x:v>
      </x:c>
    </x:row>
    <x:row r="178">
      <x:c r="A178" s="16" t="n">
        <x:v>177</x:v>
      </x:c>
      <x:c r="B178" s="14" t="str">
        <x:v>常量</x:v>
      </x:c>
      <x:c r="C178" s="14" t="str">
        <x:v>TOKEN_TRANSFER_GAS_LIMIT</x:v>
      </x:c>
      <x:c r="D178" s="14" t="str">
        <x:v>TOKEN_TRANSFER_GAS_LIMIT</x:v>
      </x:c>
      <x:c r="E178" s="14" t="str">
        <x:v>TOKEN_TRANSFER_GAS_LIMIT</x:v>
      </x:c>
      <x:c r="F178" s="14" t="str">
        <x:v>⁠0x8d7a38cdd2817aa4759ade0cb60da9326076e4b716def5fa29542afd428bbe2f</x:v>
      </x:c>
      <x:c r="G178" s="14" t="str">
        <x:v>abiEncode</x:v>
      </x:c>
      <x:c r="H178" s="14" t="str"/>
      <x:c r="I178" s="14" t="str">
        <x:v>uint</x:v>
      </x:c>
      <x:c r="J178" s="14" t="str">
        <x:v>token</x:v>
      </x:c>
      <x:c r="K178" s="16" t="str">
        <x:v>是</x:v>
      </x:c>
      <x:c r="L178" s="16" t="str">
        <x:v>否</x:v>
      </x:c>
      <x:c r="M178" s="14" t="str">
        <x:v>Config(CONFIG_KEEPER)</x:v>
      </x:c>
      <x:c r="N178" s="14" t="str">
        <x:v>沿用/见变更表</x:v>
      </x:c>
      <x:c r="O178" s="14" t="str">
        <x:v>FX100Keys.sol / Config.sol / registry-v0.3.2.json</x:v>
      </x:c>
    </x:row>
    <x:row r="179">
      <x:c r="A179" s="16" t="n">
        <x:v>178</x:v>
      </x:c>
      <x:c r="B179" s="14" t="str">
        <x:v>常量</x:v>
      </x:c>
      <x:c r="C179" s="14" t="str">
        <x:v>NATIVE_TOKEN_TRANSFER_GAS_LIMIT</x:v>
      </x:c>
      <x:c r="D179" s="14" t="str">
        <x:v>NATIVE_TOKEN_TRANSFER_GAS_LIMIT</x:v>
      </x:c>
      <x:c r="E179" s="14" t="str">
        <x:v>NATIVE_TOKEN_TRANSFER_GAS_LIMIT</x:v>
      </x:c>
      <x:c r="F179" s="14" t="str">
        <x:v>⁠0xba4ba3faa47eef5c7b4406bc363e4b87dc12ebd5f379111429dfde09787195c7</x:v>
      </x:c>
      <x:c r="G179" s="14" t="str">
        <x:v>abiEncode</x:v>
      </x:c>
      <x:c r="H179" s="14" t="str"/>
      <x:c r="I179" s="14" t="str">
        <x:v>uint</x:v>
      </x:c>
      <x:c r="J179" s="14" t="str">
        <x:v>global/raw</x:v>
      </x:c>
      <x:c r="K179" s="16" t="str">
        <x:v>是</x:v>
      </x:c>
      <x:c r="L179" s="16" t="str">
        <x:v>否</x:v>
      </x:c>
      <x:c r="M179" s="14" t="str">
        <x:v>Config(CONFIG_KEEPER)</x:v>
      </x:c>
      <x:c r="N179" s="14" t="str">
        <x:v>沿用/见变更表</x:v>
      </x:c>
      <x:c r="O179" s="14" t="str">
        <x:v>FX100Keys.sol / Config.sol / registry-v0.3.2.json</x:v>
      </x:c>
    </x:row>
    <x:row r="180">
      <x:c r="A180" s="16" t="n">
        <x:v>179</x:v>
      </x:c>
      <x:c r="B180" s="14" t="str">
        <x:v>常量</x:v>
      </x:c>
      <x:c r="C180" s="14" t="str">
        <x:v>REQUEST_EXPIRATION_TIME</x:v>
      </x:c>
      <x:c r="D180" s="14" t="str">
        <x:v>REQUEST_EXPIRATION_TIME</x:v>
      </x:c>
      <x:c r="E180" s="14" t="str">
        <x:v>REQUEST_EXPIRATION_TIME</x:v>
      </x:c>
      <x:c r="F180" s="14" t="str">
        <x:v>⁠0xf664ba0f4e5389df44705cd100171228b74c4f050a9f00bd873e95d25c49a273</x:v>
      </x:c>
      <x:c r="G180" s="14" t="str">
        <x:v>abiEncode</x:v>
      </x:c>
      <x:c r="H180" s="14" t="str"/>
      <x:c r="I180" s="14" t="str">
        <x:v>uint</x:v>
      </x:c>
      <x:c r="J180" s="14" t="str">
        <x:v>global/raw</x:v>
      </x:c>
      <x:c r="K180" s="16" t="str">
        <x:v>是</x:v>
      </x:c>
      <x:c r="L180" s="16" t="str">
        <x:v>否</x:v>
      </x:c>
      <x:c r="M180" s="14" t="str">
        <x:v>Config(CONFIG_KEEPER)</x:v>
      </x:c>
      <x:c r="N180" s="14" t="str">
        <x:v>沿用/见变更表</x:v>
      </x:c>
      <x:c r="O180" s="14" t="str">
        <x:v>FX100Keys.sol / Config.sol / registry-v0.3.2.json</x:v>
      </x:c>
    </x:row>
    <x:row r="181">
      <x:c r="A181" s="16" t="n">
        <x:v>180</x:v>
      </x:c>
      <x:c r="B181" s="14" t="str">
        <x:v>常量</x:v>
      </x:c>
      <x:c r="C181" s="14" t="str">
        <x:v>MAX_CALLBACK_GAS_LIMIT</x:v>
      </x:c>
      <x:c r="D181" s="14" t="str">
        <x:v>MAX_CALLBACK_GAS_LIMIT</x:v>
      </x:c>
      <x:c r="E181" s="14" t="str">
        <x:v>MAX_CALLBACK_GAS_LIMIT</x:v>
      </x:c>
      <x:c r="F181" s="14" t="str">
        <x:v>⁠0x96db769bd846fd256f553194bd23105f53fbbc15d04533f642d48a1ea161bfc4</x:v>
      </x:c>
      <x:c r="G181" s="14" t="str">
        <x:v>abiEncode</x:v>
      </x:c>
      <x:c r="H181" s="14" t="str"/>
      <x:c r="I181" s="14" t="str">
        <x:v>uint</x:v>
      </x:c>
      <x:c r="J181" s="14" t="str">
        <x:v>global/raw</x:v>
      </x:c>
      <x:c r="K181" s="16" t="str">
        <x:v>是</x:v>
      </x:c>
      <x:c r="L181" s="16" t="str">
        <x:v>否</x:v>
      </x:c>
      <x:c r="M181" s="14" t="str">
        <x:v>Config(CONFIG_KEEPER)</x:v>
      </x:c>
      <x:c r="N181" s="14" t="str">
        <x:v>沿用/见变更表</x:v>
      </x:c>
      <x:c r="O181" s="14" t="str">
        <x:v>FX100Keys.sol / Config.sol / registry-v0.3.2.json</x:v>
      </x:c>
    </x:row>
    <x:row r="182">
      <x:c r="A182" s="16" t="n">
        <x:v>181</x:v>
      </x:c>
      <x:c r="B182" s="14" t="str">
        <x:v>常量</x:v>
      </x:c>
      <x:c r="C182" s="14" t="str">
        <x:v>REFUND_EXECUTION_FEE_GAS_LIMIT</x:v>
      </x:c>
      <x:c r="D182" s="14" t="str">
        <x:v>REFUND_EXECUTION_FEE_GAS_LIMIT</x:v>
      </x:c>
      <x:c r="E182" s="14" t="str">
        <x:v>REFUND_EXECUTION_FEE_GAS_LIMIT</x:v>
      </x:c>
      <x:c r="F182" s="14" t="str">
        <x:v>⁠0x3d67aec8986df82bd66d53133c4835e64b058998f4ed1a5b169e791c5899e39b</x:v>
      </x:c>
      <x:c r="G182" s="14" t="str">
        <x:v>abiEncode</x:v>
      </x:c>
      <x:c r="H182" s="14" t="str"/>
      <x:c r="I182" s="14" t="str">
        <x:v>uint</x:v>
      </x:c>
      <x:c r="J182" s="14" t="str">
        <x:v>global/raw</x:v>
      </x:c>
      <x:c r="K182" s="16" t="str">
        <x:v>是</x:v>
      </x:c>
      <x:c r="L182" s="16" t="str">
        <x:v>否</x:v>
      </x:c>
      <x:c r="M182" s="14" t="str">
        <x:v>Config(CONFIG_KEEPER)</x:v>
      </x:c>
      <x:c r="N182" s="14" t="str">
        <x:v>沿用/见变更表</x:v>
      </x:c>
      <x:c r="O182" s="14" t="str">
        <x:v>FX100Keys.sol / Config.sol / registry-v0.3.2.json</x:v>
      </x:c>
    </x:row>
    <x:row r="183">
      <x:c r="A183" s="16" t="n">
        <x:v>182</x:v>
      </x:c>
      <x:c r="B183" s="14" t="str">
        <x:v>常量</x:v>
      </x:c>
      <x:c r="C183" s="14" t="str">
        <x:v>SAVED_CALLBACK_CONTRACT</x:v>
      </x:c>
      <x:c r="D183" s="14" t="str">
        <x:v>SAVED_CALLBACK_CONTRACT</x:v>
      </x:c>
      <x:c r="E183" s="14" t="str">
        <x:v>SAVED_CALLBACK_CONTRACT</x:v>
      </x:c>
      <x:c r="F183" s="14" t="str">
        <x:v>⁠0xd184c4ba8f4297e73d22c50e69ab9c3086eb81c01cb2d7b6ca71bbc3b1d1b511</x:v>
      </x:c>
      <x:c r="G183" s="14" t="str">
        <x:v>abiEncode</x:v>
      </x:c>
      <x:c r="H183" s="14" t="str"/>
      <x:c r="I183" s="14" t="str">
        <x:v>address</x:v>
      </x:c>
      <x:c r="J183" s="14" t="str">
        <x:v>account + market</x:v>
      </x:c>
      <x:c r="K183" s="16" t="str">
        <x:v>否</x:v>
      </x:c>
      <x:c r="L183" s="16" t="str">
        <x:v>否</x:v>
      </x:c>
      <x:c r="M183" s="14" t="str">
        <x:v>DataStore 直写(CONTROLLER)</x:v>
      </x:c>
      <x:c r="N183" s="14" t="str">
        <x:v>沿用/见变更表</x:v>
      </x:c>
      <x:c r="O183" s="14" t="str">
        <x:v>FX100Keys.sol / Config.sol / registry-v0.3.2.json</x:v>
      </x:c>
    </x:row>
    <x:row r="184">
      <x:c r="A184" s="16" t="n">
        <x:v>183</x:v>
      </x:c>
      <x:c r="B184" s="14" t="str">
        <x:v>常量</x:v>
      </x:c>
      <x:c r="C184" s="14" t="str">
        <x:v>MIN_COLLATERAL_FACTOR</x:v>
      </x:c>
      <x:c r="D184" s="14" t="str">
        <x:v>MIN_COLLATERAL_FACTOR</x:v>
      </x:c>
      <x:c r="E184" s="14" t="str">
        <x:v>MIN_COLLATERAL_FACTOR</x:v>
      </x:c>
      <x:c r="F184" s="14" t="str">
        <x:v>⁠0x9fc265ee9783e670a7a731141f58b59bca5a260ba3eb3f893412fb613dc559f7</x:v>
      </x:c>
      <x:c r="G184" s="14" t="str">
        <x:v>abiEncode</x:v>
      </x:c>
      <x:c r="H184" s="14" t="str"/>
      <x:c r="I184" s="14" t="str">
        <x:v>uint</x:v>
      </x:c>
      <x:c r="J184" s="14" t="str">
        <x:v>market</x:v>
      </x:c>
      <x:c r="K184" s="16" t="str">
        <x:v>是</x:v>
      </x:c>
      <x:c r="L184" s="16" t="str">
        <x:v>否</x:v>
      </x:c>
      <x:c r="M184" s="14" t="str">
        <x:v>Config(CONFIG_KEEPER)</x:v>
      </x:c>
      <x:c r="N184" s="14" t="str">
        <x:v>沿用/见变更表</x:v>
      </x:c>
      <x:c r="O184" s="14" t="str">
        <x:v>FX100Keys.sol / Config.sol / registry-v0.3.2.json</x:v>
      </x:c>
    </x:row>
    <x:row r="185">
      <x:c r="A185" s="16" t="n">
        <x:v>184</x:v>
      </x:c>
      <x:c r="B185" s="14" t="str">
        <x:v>常量</x:v>
      </x:c>
      <x:c r="C185" s="14" t="str">
        <x:v>MIN_COLLATERAL_FACTOR_FOR_OPEN_INTEREST_MULTIPLIER</x:v>
      </x:c>
      <x:c r="D185" s="14" t="str">
        <x:v>MIN_COLLATERAL_FACTOR_FOR_OPEN_INTEREST_MULTIPLIER</x:v>
      </x:c>
      <x:c r="E185" s="14" t="str">
        <x:v>MIN_COLLATERAL_FACTOR_FOR_OPEN_INTEREST_MULTIPLIER</x:v>
      </x:c>
      <x:c r="F185" s="14" t="str">
        <x:v>⁠0xdc48ea96f9c72892c8db4fdc046f04409cdef6b91e71b660bce5b8302ce8a9bb</x:v>
      </x:c>
      <x:c r="G185" s="14" t="str">
        <x:v>abiEncode</x:v>
      </x:c>
      <x:c r="H185" s="14" t="str"/>
      <x:c r="I185" s="14" t="str">
        <x:v>uint</x:v>
      </x:c>
      <x:c r="J185" s="14" t="str">
        <x:v>market + bool</x:v>
      </x:c>
      <x:c r="K185" s="16" t="str">
        <x:v>是</x:v>
      </x:c>
      <x:c r="L185" s="16" t="str">
        <x:v>否</x:v>
      </x:c>
      <x:c r="M185" s="14" t="str">
        <x:v>Config(CONFIG_KEEPER)</x:v>
      </x:c>
      <x:c r="N185" s="14" t="str">
        <x:v>沿用/见变更表</x:v>
      </x:c>
      <x:c r="O185" s="14" t="str">
        <x:v>FX100Keys.sol / Config.sol / registry-v0.3.2.json</x:v>
      </x:c>
    </x:row>
    <x:row r="186">
      <x:c r="A186" s="16" t="n">
        <x:v>185</x:v>
      </x:c>
      <x:c r="B186" s="14" t="str">
        <x:v>常量</x:v>
      </x:c>
      <x:c r="C186" s="14" t="str">
        <x:v>MIN_COLLATERAL_USD</x:v>
      </x:c>
      <x:c r="D186" s="14" t="str">
        <x:v>MIN_COLLATERAL_USD</x:v>
      </x:c>
      <x:c r="E186" s="14" t="str">
        <x:v>MIN_COLLATERAL_USD</x:v>
      </x:c>
      <x:c r="F186" s="14" t="str">
        <x:v>⁠0x6497f0f2c47edc68f06ede1c06d3475f939eb1a8341362460277bcd8ee7419f4</x:v>
      </x:c>
      <x:c r="G186" s="14" t="str">
        <x:v>abiEncode</x:v>
      </x:c>
      <x:c r="H186" s="14" t="str"/>
      <x:c r="I186" s="14" t="str">
        <x:v>uint</x:v>
      </x:c>
      <x:c r="J186" s="14" t="str">
        <x:v>global/raw</x:v>
      </x:c>
      <x:c r="K186" s="16" t="str">
        <x:v>是</x:v>
      </x:c>
      <x:c r="L186" s="16" t="str">
        <x:v>否</x:v>
      </x:c>
      <x:c r="M186" s="14" t="str">
        <x:v>Config(CONFIG_KEEPER)</x:v>
      </x:c>
      <x:c r="N186" s="14" t="str">
        <x:v>沿用/见变更表</x:v>
      </x:c>
      <x:c r="O186" s="14" t="str">
        <x:v>FX100Keys.sol / Config.sol / registry-v0.3.2.json</x:v>
      </x:c>
    </x:row>
    <x:row r="187">
      <x:c r="A187" s="16" t="n">
        <x:v>186</x:v>
      </x:c>
      <x:c r="B187" s="14" t="str">
        <x:v>常量</x:v>
      </x:c>
      <x:c r="C187" s="14" t="str">
        <x:v>MIN_COLLATERAL_FACTOR_FOR_LIQUIDATION</x:v>
      </x:c>
      <x:c r="D187" s="14" t="str">
        <x:v>MIN_COLLATERAL_FACTOR_FOR_LIQUIDATION</x:v>
      </x:c>
      <x:c r="E187" s="14" t="str">
        <x:v>MIN_COLLATERAL_FACTOR_FOR_LIQUIDATION</x:v>
      </x:c>
      <x:c r="F187" s="14" t="str">
        <x:v>⁠0xc1c82b94002bf5bd86480807e32ee86f3d83d38b2853b1e48546acc11884eebd</x:v>
      </x:c>
      <x:c r="G187" s="14" t="str">
        <x:v>abiEncode</x:v>
      </x:c>
      <x:c r="H187" s="14" t="str"/>
      <x:c r="I187" s="14" t="str">
        <x:v>uint</x:v>
      </x:c>
      <x:c r="J187" s="14" t="str">
        <x:v>market</x:v>
      </x:c>
      <x:c r="K187" s="16" t="str">
        <x:v>是</x:v>
      </x:c>
      <x:c r="L187" s="16" t="str">
        <x:v>否</x:v>
      </x:c>
      <x:c r="M187" s="14" t="str">
        <x:v>Config(CONFIG_KEEPER)</x:v>
      </x:c>
      <x:c r="N187" s="14" t="str">
        <x:v>沿用/见变更表</x:v>
      </x:c>
      <x:c r="O187" s="14" t="str">
        <x:v>FX100Keys.sol / Config.sol / registry-v0.3.2.json</x:v>
      </x:c>
    </x:row>
    <x:row r="188">
      <x:c r="A188" s="16" t="n">
        <x:v>187</x:v>
      </x:c>
      <x:c r="B188" s="14" t="str">
        <x:v>常量</x:v>
      </x:c>
      <x:c r="C188" s="14" t="str">
        <x:v>MIN_POSITION_SIZE_USD</x:v>
      </x:c>
      <x:c r="D188" s="14" t="str">
        <x:v>MIN_POSITION_SIZE_USD</x:v>
      </x:c>
      <x:c r="E188" s="14" t="str">
        <x:v>MIN_POSITION_SIZE_USD</x:v>
      </x:c>
      <x:c r="F188" s="14" t="str">
        <x:v>⁠0x48faddd525cc6e216bc2c62a7053b940a842e3c102782fb4da69ebeb8f7bd724</x:v>
      </x:c>
      <x:c r="G188" s="14" t="str">
        <x:v>abiEncode</x:v>
      </x:c>
      <x:c r="H188" s="14" t="str"/>
      <x:c r="I188" s="14" t="str">
        <x:v>uint</x:v>
      </x:c>
      <x:c r="J188" s="14" t="str">
        <x:v>global/raw</x:v>
      </x:c>
      <x:c r="K188" s="16" t="str">
        <x:v>是</x:v>
      </x:c>
      <x:c r="L188" s="16" t="str">
        <x:v>否</x:v>
      </x:c>
      <x:c r="M188" s="14" t="str">
        <x:v>Config(CONFIG_KEEPER)</x:v>
      </x:c>
      <x:c r="N188" s="14" t="str">
        <x:v>沿用/见变更表</x:v>
      </x:c>
      <x:c r="O188" s="14" t="str">
        <x:v>FX100Keys.sol / Config.sol / registry-v0.3.2.json</x:v>
      </x:c>
    </x:row>
    <x:row r="189">
      <x:c r="A189" s="16" t="n">
        <x:v>188</x:v>
      </x:c>
      <x:c r="B189" s="14" t="str">
        <x:v>常量</x:v>
      </x:c>
      <x:c r="C189" s="14" t="str">
        <x:v>MAX_POSITION_SIZE_USD</x:v>
      </x:c>
      <x:c r="D189" s="14" t="str">
        <x:v>MAX_POSITION_SIZE_USD</x:v>
      </x:c>
      <x:c r="E189" s="14" t="str">
        <x:v>MAX_POSITION_SIZE_USD</x:v>
      </x:c>
      <x:c r="F189" s="14" t="str">
        <x:v>⁠0xcc0935b308b938b74a1a9a23307822c6b33c36ea39d1c29c34f7d9e0f4c62be8</x:v>
      </x:c>
      <x:c r="G189" s="14" t="str">
        <x:v>abiEncode</x:v>
      </x:c>
      <x:c r="H189" s="14" t="str"/>
      <x:c r="I189" s="14" t="str">
        <x:v>uint</x:v>
      </x:c>
      <x:c r="J189" s="14" t="str">
        <x:v>market</x:v>
      </x:c>
      <x:c r="K189" s="16" t="str">
        <x:v>否</x:v>
      </x:c>
      <x:c r="L189" s="16" t="str">
        <x:v>否</x:v>
      </x:c>
      <x:c r="M189" s="14" t="str">
        <x:v>DataStore 直写(CONTROLLER)</x:v>
      </x:c>
      <x:c r="N189" s="14" t="str">
        <x:v>沿用/见变更表</x:v>
      </x:c>
      <x:c r="O189" s="14" t="str">
        <x:v>FX100Keys.sol / Config.sol / registry-v0.3.2.json</x:v>
      </x:c>
    </x:row>
    <x:row r="190">
      <x:c r="A190" s="16" t="n">
        <x:v>189</x:v>
      </x:c>
      <x:c r="B190" s="14" t="str">
        <x:v>常量</x:v>
      </x:c>
      <x:c r="C190" s="14" t="str">
        <x:v>VIRTUAL_TOKEN_ID</x:v>
      </x:c>
      <x:c r="D190" s="14" t="str">
        <x:v>VIRTUAL_TOKEN_ID</x:v>
      </x:c>
      <x:c r="E190" s="14" t="str">
        <x:v>VIRTUAL_TOKEN_ID</x:v>
      </x:c>
      <x:c r="F190" s="14" t="str">
        <x:v>⁠0xf67a7032110168f4a12e06bb2da6bd7c662f9f983baea96840754d9d18c6fd3f</x:v>
      </x:c>
      <x:c r="G190" s="14" t="str">
        <x:v>abiEncode</x:v>
      </x:c>
      <x:c r="H190" s="14" t="str"/>
      <x:c r="I190" s="14" t="str"/>
      <x:c r="J190" s="14" t="str">
        <x:v>token</x:v>
      </x:c>
      <x:c r="K190" s="16" t="str">
        <x:v>是</x:v>
      </x:c>
      <x:c r="L190" s="16" t="str">
        <x:v>否</x:v>
      </x:c>
      <x:c r="M190" s="14" t="str">
        <x:v>Config(CONFIG_KEEPER)</x:v>
      </x:c>
      <x:c r="N190" s="14" t="str">
        <x:v>沿用/见变更表</x:v>
      </x:c>
      <x:c r="O190" s="14" t="str">
        <x:v>FX100Keys.sol / Config.sol / registry-v0.3.2.json</x:v>
      </x:c>
    </x:row>
    <x:row r="191">
      <x:c r="A191" s="16" t="n">
        <x:v>190</x:v>
      </x:c>
      <x:c r="B191" s="14" t="str">
        <x:v>常量</x:v>
      </x:c>
      <x:c r="C191" s="14" t="str">
        <x:v>VIRTUAL_MARKET_ID</x:v>
      </x:c>
      <x:c r="D191" s="14" t="str">
        <x:v>VIRTUAL_MARKET_ID</x:v>
      </x:c>
      <x:c r="E191" s="14" t="str">
        <x:v>VIRTUAL_MARKET_ID</x:v>
      </x:c>
      <x:c r="F191" s="14" t="str">
        <x:v>⁠0xff9bd560da6d40ff8ad8731ff6380588d288cc7aba40ff490b81e2a62800590d</x:v>
      </x:c>
      <x:c r="G191" s="14" t="str">
        <x:v>abiEncode</x:v>
      </x:c>
      <x:c r="H191" s="14" t="str"/>
      <x:c r="I191" s="14" t="str"/>
      <x:c r="J191" s="14" t="str">
        <x:v>market</x:v>
      </x:c>
      <x:c r="K191" s="16" t="str">
        <x:v>是</x:v>
      </x:c>
      <x:c r="L191" s="16" t="str">
        <x:v>否</x:v>
      </x:c>
      <x:c r="M191" s="14" t="str">
        <x:v>Config(CONFIG_KEEPER)</x:v>
      </x:c>
      <x:c r="N191" s="14" t="str">
        <x:v>沿用/见变更表</x:v>
      </x:c>
      <x:c r="O191" s="14" t="str">
        <x:v>FX100Keys.sol / Config.sol / registry-v0.3.2.json</x:v>
      </x:c>
    </x:row>
    <x:row r="192">
      <x:c r="A192" s="16" t="n">
        <x:v>191</x:v>
      </x:c>
      <x:c r="B192" s="14" t="str">
        <x:v>常量</x:v>
      </x:c>
      <x:c r="C192" s="14" t="str">
        <x:v>VIRTUAL_INVENTORY_FOR_SWAPS</x:v>
      </x:c>
      <x:c r="D192" s="14" t="str">
        <x:v>VIRTUAL_INVENTORY_FOR_SWAPS</x:v>
      </x:c>
      <x:c r="E192" s="14" t="str">
        <x:v>VIRTUAL_INVENTORY_FOR_SWAPS</x:v>
      </x:c>
      <x:c r="F192" s="14" t="str">
        <x:v>⁠0x7fe007f9bd8862e0de799f6fbd8c21b553689d1eb45beb083ca688e0d7cf2b6d</x:v>
      </x:c>
      <x:c r="G192" s="14" t="str">
        <x:v>abiEncode</x:v>
      </x:c>
      <x:c r="H192" s="14" t="str"/>
      <x:c r="I192" s="14" t="str"/>
      <x:c r="J192" s="14" t="str">
        <x:v>virtualMarketId + bool</x:v>
      </x:c>
      <x:c r="K192" s="16" t="str">
        <x:v>是</x:v>
      </x:c>
      <x:c r="L192" s="16" t="str">
        <x:v>否</x:v>
      </x:c>
      <x:c r="M192" s="14" t="str">
        <x:v>Config(CONFIG_KEEPER)</x:v>
      </x:c>
      <x:c r="N192" s="14" t="str">
        <x:v>沿用/见变更表</x:v>
      </x:c>
      <x:c r="O192" s="14" t="str">
        <x:v>FX100Keys.sol / Config.sol / registry-v0.3.2.json</x:v>
      </x:c>
    </x:row>
    <x:row r="193">
      <x:c r="A193" s="16" t="n">
        <x:v>192</x:v>
      </x:c>
      <x:c r="B193" s="14" t="str">
        <x:v>常量</x:v>
      </x:c>
      <x:c r="C193" s="14" t="str">
        <x:v>VIRTUAL_INVENTORY_FOR_POSITIONS</x:v>
      </x:c>
      <x:c r="D193" s="14" t="str">
        <x:v>VIRTUAL_INVENTORY_FOR_POSITIONS</x:v>
      </x:c>
      <x:c r="E193" s="14" t="str">
        <x:v>VIRTUAL_INVENTORY_FOR_POSITIONS</x:v>
      </x:c>
      <x:c r="F193" s="14" t="str">
        <x:v>⁠0xf22f880a75a5623d3ed30338ac185794b296b0dd4105749a17d30853cb8d9b93</x:v>
      </x:c>
      <x:c r="G193" s="14" t="str">
        <x:v>abiEncode</x:v>
      </x:c>
      <x:c r="H193" s="14" t="str"/>
      <x:c r="I193" s="14" t="str"/>
      <x:c r="J193" s="14" t="str">
        <x:v>virtualTokenId</x:v>
      </x:c>
      <x:c r="K193" s="16" t="str">
        <x:v>是</x:v>
      </x:c>
      <x:c r="L193" s="16" t="str">
        <x:v>否</x:v>
      </x:c>
      <x:c r="M193" s="14" t="str">
        <x:v>Config(CONFIG_KEEPER)</x:v>
      </x:c>
      <x:c r="N193" s="14" t="str">
        <x:v>沿用/见变更表</x:v>
      </x:c>
      <x:c r="O193" s="14" t="str">
        <x:v>FX100Keys.sol / Config.sol / registry-v0.3.2.json</x:v>
      </x:c>
    </x:row>
    <x:row r="194">
      <x:c r="A194" s="16" t="n">
        <x:v>193</x:v>
      </x:c>
      <x:c r="B194" s="14" t="str">
        <x:v>常量</x:v>
      </x:c>
      <x:c r="C194" s="14" t="str">
        <x:v>VIRTUAL_INVENTORY_FOR_POSITIONS_IN_TOKENS</x:v>
      </x:c>
      <x:c r="D194" s="14" t="str">
        <x:v>VIRTUAL_INVENTORY_FOR_POSITIONS_IN_TOKENS</x:v>
      </x:c>
      <x:c r="E194" s="14" t="str">
        <x:v>VIRTUAL_INVENTORY_FOR_POSITIONS_IN_TOKENS</x:v>
      </x:c>
      <x:c r="F194" s="14" t="str">
        <x:v>⁠0xef16622f16cbe15952d0e1393cd8870844dffcb7b42ce90332a5635553d2ab50</x:v>
      </x:c>
      <x:c r="G194" s="14" t="str">
        <x:v>abiEncode</x:v>
      </x:c>
      <x:c r="H194" s="14" t="str"/>
      <x:c r="I194" s="14" t="str"/>
      <x:c r="J194" s="14" t="str">
        <x:v>virtualTokenId</x:v>
      </x:c>
      <x:c r="K194" s="16" t="str">
        <x:v>是</x:v>
      </x:c>
      <x:c r="L194" s="16" t="str">
        <x:v>否</x:v>
      </x:c>
      <x:c r="M194" s="14" t="str">
        <x:v>Config(CONFIG_KEEPER)</x:v>
      </x:c>
      <x:c r="N194" s="14" t="str">
        <x:v>沿用/见变更表</x:v>
      </x:c>
      <x:c r="O194" s="14" t="str">
        <x:v>FX100Keys.sol / Config.sol / registry-v0.3.2.json</x:v>
      </x:c>
    </x:row>
    <x:row r="195">
      <x:c r="A195" s="16" t="n">
        <x:v>194</x:v>
      </x:c>
      <x:c r="B195" s="14" t="str">
        <x:v>常量</x:v>
      </x:c>
      <x:c r="C195" s="14" t="str">
        <x:v>PRO_TRADER_TIER</x:v>
      </x:c>
      <x:c r="D195" s="14" t="str">
        <x:v>PRO_TRADER_TIER</x:v>
      </x:c>
      <x:c r="E195" s="14" t="str">
        <x:v>PRO_TRADER_TIER</x:v>
      </x:c>
      <x:c r="F195" s="14" t="str">
        <x:v>⁠0xc43d4a0e0ed3ebe314c5efe5927fec68b466f838107f15cd5101b6bae5051949</x:v>
      </x:c>
      <x:c r="G195" s="14" t="str">
        <x:v>abiEncode</x:v>
      </x:c>
      <x:c r="H195" s="14" t="str"/>
      <x:c r="I195" s="14" t="str">
        <x:v>uint</x:v>
      </x:c>
      <x:c r="J195" s="14" t="str">
        <x:v>account</x:v>
      </x:c>
      <x:c r="K195" s="16" t="str">
        <x:v>是</x:v>
      </x:c>
      <x:c r="L195" s="16" t="str">
        <x:v>是</x:v>
      </x:c>
      <x:c r="M195" s="14" t="str">
        <x:v>Config(CONFIG_KEEPER) / Config(LIMITED_CONFIG_KEEPER)</x:v>
      </x:c>
      <x:c r="N195" s="14" t="str">
        <x:v>沿用/见变更表</x:v>
      </x:c>
      <x:c r="O195" s="14" t="str">
        <x:v>FX100Keys.sol / Config.sol / registry-v0.3.2.json</x:v>
      </x:c>
    </x:row>
    <x:row r="196">
      <x:c r="A196" s="16" t="n">
        <x:v>195</x:v>
      </x:c>
      <x:c r="B196" s="14" t="str">
        <x:v>常量</x:v>
      </x:c>
      <x:c r="C196" s="14" t="str">
        <x:v>PRO_DISCOUNT_FACTOR</x:v>
      </x:c>
      <x:c r="D196" s="14" t="str">
        <x:v>PRO_DISCOUNT_FACTOR</x:v>
      </x:c>
      <x:c r="E196" s="14" t="str">
        <x:v>PRO_DISCOUNT_FACTOR</x:v>
      </x:c>
      <x:c r="F196" s="14" t="str">
        <x:v>⁠0x4471a2f4514c79733ff0d64d9552d84f9a2a3ea1d0e22b827aa20be3d4c01e20</x:v>
      </x:c>
      <x:c r="G196" s="14" t="str">
        <x:v>abiEncode</x:v>
      </x:c>
      <x:c r="H196" s="14" t="str"/>
      <x:c r="I196" s="14" t="str">
        <x:v>uint</x:v>
      </x:c>
      <x:c r="J196" s="14" t="str">
        <x:v>proTier</x:v>
      </x:c>
      <x:c r="K196" s="16" t="str">
        <x:v>是</x:v>
      </x:c>
      <x:c r="L196" s="16" t="str">
        <x:v>否</x:v>
      </x:c>
      <x:c r="M196" s="14" t="str">
        <x:v>Config(CONFIG_KEEPER)</x:v>
      </x:c>
      <x:c r="N196" s="14" t="str">
        <x:v>沿用/见变更表</x:v>
      </x:c>
      <x:c r="O196" s="14" t="str">
        <x:v>FX100Keys.sol / Config.sol / registry-v0.3.2.json</x:v>
      </x:c>
    </x:row>
    <x:row r="197">
      <x:c r="A197" s="16" t="n">
        <x:v>196</x:v>
      </x:c>
      <x:c r="B197" s="14" t="str">
        <x:v>常量</x:v>
      </x:c>
      <x:c r="C197" s="14" t="str">
        <x:v>LIQUIDATION_FEE_FACTOR</x:v>
      </x:c>
      <x:c r="D197" s="14" t="str">
        <x:v>LIQUIDATION_FEE_FACTOR</x:v>
      </x:c>
      <x:c r="E197" s="14" t="str">
        <x:v>LIQUIDATION_FEE_FACTOR</x:v>
      </x:c>
      <x:c r="F197" s="14" t="str">
        <x:v>⁠0x3a9047f0ded507ed1dabb64e1e0515c4b51c350aa275b69f5d66841dcf29b4ff</x:v>
      </x:c>
      <x:c r="G197" s="14" t="str">
        <x:v>abiEncode</x:v>
      </x:c>
      <x:c r="H197" s="14" t="str"/>
      <x:c r="I197" s="14" t="str">
        <x:v>uint</x:v>
      </x:c>
      <x:c r="J197" s="14" t="str">
        <x:v>market</x:v>
      </x:c>
      <x:c r="K197" s="16" t="str">
        <x:v>是</x:v>
      </x:c>
      <x:c r="L197" s="16" t="str">
        <x:v>否</x:v>
      </x:c>
      <x:c r="M197" s="14" t="str">
        <x:v>Config(CONFIG_KEEPER)</x:v>
      </x:c>
      <x:c r="N197" s="14" t="str">
        <x:v>沿用/见变更表</x:v>
      </x:c>
      <x:c r="O197" s="14" t="str">
        <x:v>FX100Keys.sol / Config.sol / registry-v0.3.2.json</x:v>
      </x:c>
    </x:row>
    <x:row r="198">
      <x:c r="A198" s="16" t="n">
        <x:v>197</x:v>
      </x:c>
      <x:c r="B198" s="14" t="str">
        <x:v>常量</x:v>
      </x:c>
      <x:c r="C198" s="14" t="str">
        <x:v>SWAP_IMPACT_FACTOR</x:v>
      </x:c>
      <x:c r="D198" s="14" t="str">
        <x:v>SWAP_IMPACT_FACTOR</x:v>
      </x:c>
      <x:c r="E198" s="14" t="str">
        <x:v>SWAP_IMPACT_FACTOR</x:v>
      </x:c>
      <x:c r="F198" s="14" t="str">
        <x:v>⁠0xb7b5078258119da264291f3a2e9abfced2bc31a5991e7e7f1904b6921c6311a7</x:v>
      </x:c>
      <x:c r="G198" s="14" t="str">
        <x:v>abiEncode</x:v>
      </x:c>
      <x:c r="H198" s="14" t="str"/>
      <x:c r="I198" s="14" t="str"/>
      <x:c r="J198" s="14" t="str">
        <x:v>market + bool</x:v>
      </x:c>
      <x:c r="K198" s="16" t="str">
        <x:v>是</x:v>
      </x:c>
      <x:c r="L198" s="16" t="str">
        <x:v>否</x:v>
      </x:c>
      <x:c r="M198" s="14" t="str">
        <x:v>Config(CONFIG_KEEPER)</x:v>
      </x:c>
      <x:c r="N198" s="14" t="str">
        <x:v>沿用/见变更表</x:v>
      </x:c>
      <x:c r="O198" s="14" t="str">
        <x:v>FX100Keys.sol / Config.sol / registry-v0.3.2.json</x:v>
      </x:c>
    </x:row>
    <x:row r="199">
      <x:c r="A199" s="16" t="n">
        <x:v>198</x:v>
      </x:c>
      <x:c r="B199" s="14" t="str">
        <x:v>常量</x:v>
      </x:c>
      <x:c r="C199" s="14" t="str">
        <x:v>SWAP_IMPACT_EXPONENT_FACTOR</x:v>
      </x:c>
      <x:c r="D199" s="14" t="str">
        <x:v>SWAP_IMPACT_EXPONENT_FACTOR</x:v>
      </x:c>
      <x:c r="E199" s="14" t="str">
        <x:v>SWAP_IMPACT_EXPONENT_FACTOR</x:v>
      </x:c>
      <x:c r="F199" s="14" t="str">
        <x:v>⁠0xf5696d772a3abd1b31035d4c1d2455016d0edb67544f554fc4fc7aa73f622cd5</x:v>
      </x:c>
      <x:c r="G199" s="14" t="str">
        <x:v>abiEncode</x:v>
      </x:c>
      <x:c r="H199" s="14" t="str"/>
      <x:c r="I199" s="14" t="str"/>
      <x:c r="J199" s="14" t="str">
        <x:v>market</x:v>
      </x:c>
      <x:c r="K199" s="16" t="str">
        <x:v>是</x:v>
      </x:c>
      <x:c r="L199" s="16" t="str">
        <x:v>否</x:v>
      </x:c>
      <x:c r="M199" s="14" t="str">
        <x:v>Config(CONFIG_KEEPER)</x:v>
      </x:c>
      <x:c r="N199" s="14" t="str">
        <x:v>沿用/见变更表</x:v>
      </x:c>
      <x:c r="O199" s="14" t="str">
        <x:v>FX100Keys.sol / Config.sol / registry-v0.3.2.json</x:v>
      </x:c>
    </x:row>
    <x:row r="200">
      <x:c r="A200" s="16" t="n">
        <x:v>199</x:v>
      </x:c>
      <x:c r="B200" s="14" t="str">
        <x:v>常量</x:v>
      </x:c>
      <x:c r="C200" s="14" t="str">
        <x:v>SWAP_FEE_FACTOR</x:v>
      </x:c>
      <x:c r="D200" s="14" t="str">
        <x:v>SWAP_FEE_FACTOR</x:v>
      </x:c>
      <x:c r="E200" s="14" t="str">
        <x:v>SWAP_FEE_FACTOR</x:v>
      </x:c>
      <x:c r="F200" s="14" t="str">
        <x:v>⁠0x94d46da9c8a5f890b6b58c1e6e78b27ac6d05b5b488adb426ef137d5eb0f3599</x:v>
      </x:c>
      <x:c r="G200" s="14" t="str">
        <x:v>abiEncode</x:v>
      </x:c>
      <x:c r="H200" s="14" t="str"/>
      <x:c r="I200" s="14" t="str"/>
      <x:c r="J200" s="14" t="str">
        <x:v>market + bool</x:v>
      </x:c>
      <x:c r="K200" s="16" t="str">
        <x:v>是</x:v>
      </x:c>
      <x:c r="L200" s="16" t="str">
        <x:v>否</x:v>
      </x:c>
      <x:c r="M200" s="14" t="str">
        <x:v>Config(CONFIG_KEEPER)</x:v>
      </x:c>
      <x:c r="N200" s="14" t="str">
        <x:v>沿用/见变更表</x:v>
      </x:c>
      <x:c r="O200" s="14" t="str">
        <x:v>FX100Keys.sol / Config.sol / registry-v0.3.2.json</x:v>
      </x:c>
    </x:row>
    <x:row r="201">
      <x:c r="A201" s="16" t="n">
        <x:v>200</x:v>
      </x:c>
      <x:c r="B201" s="14" t="str">
        <x:v>常量</x:v>
      </x:c>
      <x:c r="C201" s="14" t="str">
        <x:v>ATOMIC_SWAP_FEE_FACTOR</x:v>
      </x:c>
      <x:c r="D201" s="14" t="str">
        <x:v>ATOMIC_SWAP_FEE_FACTOR</x:v>
      </x:c>
      <x:c r="E201" s="14" t="str">
        <x:v>ATOMIC_SWAP_FEE_FACTOR</x:v>
      </x:c>
      <x:c r="F201" s="14" t="str">
        <x:v>⁠0xde72bcc3246e0d5d632117733986ff91c7efefa5ae54a84e77a311a9b3e1bb60</x:v>
      </x:c>
      <x:c r="G201" s="14" t="str">
        <x:v>abiEncode</x:v>
      </x:c>
      <x:c r="H201" s="14" t="str"/>
      <x:c r="I201" s="14" t="str"/>
      <x:c r="J201" s="14" t="str">
        <x:v>market</x:v>
      </x:c>
      <x:c r="K201" s="16" t="str">
        <x:v>是</x:v>
      </x:c>
      <x:c r="L201" s="16" t="str">
        <x:v>否</x:v>
      </x:c>
      <x:c r="M201" s="14" t="str">
        <x:v>Config(CONFIG_KEEPER)</x:v>
      </x:c>
      <x:c r="N201" s="14" t="str">
        <x:v>沿用/见变更表</x:v>
      </x:c>
      <x:c r="O201" s="14" t="str">
        <x:v>FX100Keys.sol / Config.sol / registry-v0.3.2.json</x:v>
      </x:c>
    </x:row>
    <x:row r="202">
      <x:c r="A202" s="16" t="n">
        <x:v>201</x:v>
      </x:c>
      <x:c r="B202" s="14" t="str">
        <x:v>常量</x:v>
      </x:c>
      <x:c r="C202" s="14" t="str">
        <x:v>ATOMIC_WITHDRAWAL_FEE_FACTOR</x:v>
      </x:c>
      <x:c r="D202" s="14" t="str">
        <x:v>ATOMIC_WITHDRAWAL_FEE_FACTOR</x:v>
      </x:c>
      <x:c r="E202" s="14" t="str">
        <x:v>ATOMIC_WITHDRAWAL_FEE_FACTOR</x:v>
      </x:c>
      <x:c r="F202" s="14" t="str">
        <x:v>⁠0x5a97ca4f442b1a1a3252836f8c6aa13fcf54aee9016ab2f3944e69a02beef93f</x:v>
      </x:c>
      <x:c r="G202" s="14" t="str">
        <x:v>abiEncode</x:v>
      </x:c>
      <x:c r="H202" s="14" t="str"/>
      <x:c r="I202" s="14" t="str"/>
      <x:c r="J202" s="14" t="str">
        <x:v>market</x:v>
      </x:c>
      <x:c r="K202" s="16" t="str">
        <x:v>是</x:v>
      </x:c>
      <x:c r="L202" s="16" t="str">
        <x:v>否</x:v>
      </x:c>
      <x:c r="M202" s="14" t="str">
        <x:v>Config(CONFIG_KEEPER)</x:v>
      </x:c>
      <x:c r="N202" s="14" t="str">
        <x:v>沿用/见变更表</x:v>
      </x:c>
      <x:c r="O202" s="14" t="str">
        <x:v>FX100Keys.sol / Config.sol / registry-v0.3.2.json</x:v>
      </x:c>
    </x:row>
    <x:row r="203">
      <x:c r="A203" s="16" t="n">
        <x:v>202</x:v>
      </x:c>
      <x:c r="B203" s="14" t="str">
        <x:v>常量</x:v>
      </x:c>
      <x:c r="C203" s="14" t="str">
        <x:v>DEPOSIT_FEE_FACTOR</x:v>
      </x:c>
      <x:c r="D203" s="14" t="str">
        <x:v>DEPOSIT_FEE_FACTOR</x:v>
      </x:c>
      <x:c r="E203" s="14" t="str">
        <x:v>DEPOSIT_FEE_FACTOR</x:v>
      </x:c>
      <x:c r="F203" s="14" t="str">
        <x:v>⁠0x2bf0feec8ff0614372dfa474a194c8ed4afe132cef4a51163d98e9c832164201</x:v>
      </x:c>
      <x:c r="G203" s="14" t="str">
        <x:v>abiEncode</x:v>
      </x:c>
      <x:c r="H203" s="14" t="str"/>
      <x:c r="I203" s="14" t="str"/>
      <x:c r="J203" s="14" t="str">
        <x:v>market + bool</x:v>
      </x:c>
      <x:c r="K203" s="16" t="str">
        <x:v>是</x:v>
      </x:c>
      <x:c r="L203" s="16" t="str">
        <x:v>否</x:v>
      </x:c>
      <x:c r="M203" s="14" t="str">
        <x:v>Config(CONFIG_KEEPER)</x:v>
      </x:c>
      <x:c r="N203" s="14" t="str">
        <x:v>沿用/见变更表</x:v>
      </x:c>
      <x:c r="O203" s="14" t="str">
        <x:v>FX100Keys.sol / Config.sol / registry-v0.3.2.json</x:v>
      </x:c>
    </x:row>
    <x:row r="204">
      <x:c r="A204" s="16" t="n">
        <x:v>203</x:v>
      </x:c>
      <x:c r="B204" s="14" t="str">
        <x:v>常量</x:v>
      </x:c>
      <x:c r="C204" s="14" t="str">
        <x:v>WITHDRAWAL_FEE_FACTOR</x:v>
      </x:c>
      <x:c r="D204" s="14" t="str">
        <x:v>WITHDRAWAL_FEE_FACTOR</x:v>
      </x:c>
      <x:c r="E204" s="14" t="str">
        <x:v>WITHDRAWAL_FEE_FACTOR</x:v>
      </x:c>
      <x:c r="F204" s="14" t="str">
        <x:v>⁠0xd60dc284de69a24ae24561caecbd4312f09ada08bc2a3c00510944ae52d60bb2</x:v>
      </x:c>
      <x:c r="G204" s="14" t="str">
        <x:v>abiEncode</x:v>
      </x:c>
      <x:c r="H204" s="14" t="str"/>
      <x:c r="I204" s="14" t="str"/>
      <x:c r="J204" s="14" t="str">
        <x:v>market + bool</x:v>
      </x:c>
      <x:c r="K204" s="16" t="str">
        <x:v>是</x:v>
      </x:c>
      <x:c r="L204" s="16" t="str">
        <x:v>否</x:v>
      </x:c>
      <x:c r="M204" s="14" t="str">
        <x:v>Config(CONFIG_KEEPER)</x:v>
      </x:c>
      <x:c r="N204" s="14" t="str">
        <x:v>沿用/见变更表</x:v>
      </x:c>
      <x:c r="O204" s="14" t="str">
        <x:v>FX100Keys.sol / Config.sol / registry-v0.3.2.json</x:v>
      </x:c>
    </x:row>
    <x:row r="205">
      <x:c r="A205" s="16" t="n">
        <x:v>204</x:v>
      </x:c>
      <x:c r="B205" s="14" t="str">
        <x:v>常量</x:v>
      </x:c>
      <x:c r="C205" s="14" t="str">
        <x:v>ORACLE_TYPE</x:v>
      </x:c>
      <x:c r="D205" s="14" t="str">
        <x:v>ORACLE_TYPE</x:v>
      </x:c>
      <x:c r="E205" s="14" t="str">
        <x:v>ORACLE_TYPE</x:v>
      </x:c>
      <x:c r="F205" s="14" t="str">
        <x:v>⁠0xfcfe01b4300970d5df513f44ebe914e972f7aeddffbfea2710a27ebb18db1350</x:v>
      </x:c>
      <x:c r="G205" s="14" t="str">
        <x:v>abiEncode</x:v>
      </x:c>
      <x:c r="H205" s="14" t="str"/>
      <x:c r="I205" s="14" t="str"/>
      <x:c r="J205" s="14" t="str">
        <x:v>token</x:v>
      </x:c>
      <x:c r="K205" s="16" t="str">
        <x:v>是</x:v>
      </x:c>
      <x:c r="L205" s="16" t="str">
        <x:v>否</x:v>
      </x:c>
      <x:c r="M205" s="14" t="str">
        <x:v>Config(CONFIG_KEEPER)</x:v>
      </x:c>
      <x:c r="N205" s="14" t="str">
        <x:v>沿用/见变更表</x:v>
      </x:c>
      <x:c r="O205" s="14" t="str">
        <x:v>FX100Keys.sol / Config.sol / registry-v0.3.2.json</x:v>
      </x:c>
    </x:row>
    <x:row r="206">
      <x:c r="A206" s="16" t="n">
        <x:v>205</x:v>
      </x:c>
      <x:c r="B206" s="14" t="str">
        <x:v>常量</x:v>
      </x:c>
      <x:c r="C206" s="14" t="str">
        <x:v>MAX_ALLOWED_SUBACCOUNT_ACTION_COUNT</x:v>
      </x:c>
      <x:c r="D206" s="14" t="str">
        <x:v>MAX_ALLOWED_SUBACCOUNT_ACTION_COUNT</x:v>
      </x:c>
      <x:c r="E206" s="14" t="str">
        <x:v>MAX_ALLOWED_SUBACCOUNT_ACTION_COUNT</x:v>
      </x:c>
      <x:c r="F206" s="14" t="str">
        <x:v>⁠0xde6d7ba6907cdeb6383a9c6eb5584debbfcb17b3058bc5d901a08daa9a56cf13</x:v>
      </x:c>
      <x:c r="G206" s="14" t="str">
        <x:v>abiEncode</x:v>
      </x:c>
      <x:c r="H206" s="14" t="str"/>
      <x:c r="I206" s="14" t="str">
        <x:v>uint</x:v>
      </x:c>
      <x:c r="J206" s="14" t="str">
        <x:v>account + subaccountActionType</x:v>
      </x:c>
      <x:c r="K206" s="16" t="str">
        <x:v>否</x:v>
      </x:c>
      <x:c r="L206" s="16" t="str">
        <x:v>否</x:v>
      </x:c>
      <x:c r="M206" s="14" t="str">
        <x:v>DataStore 直写(CONTROLLER)</x:v>
      </x:c>
      <x:c r="N206" s="14" t="str">
        <x:v>沿用/见变更表</x:v>
      </x:c>
      <x:c r="O206" s="14" t="str">
        <x:v>FX100Keys.sol / Config.sol / registry-v0.3.2.json</x:v>
      </x:c>
    </x:row>
    <x:row r="207">
      <x:c r="A207" s="16" t="n">
        <x:v>206</x:v>
      </x:c>
      <x:c r="B207" s="14" t="str">
        <x:v>常量</x:v>
      </x:c>
      <x:c r="C207" s="14" t="str">
        <x:v>SUBACCOUNT_EXPIRES_AT</x:v>
      </x:c>
      <x:c r="D207" s="14" t="str">
        <x:v>SUBACCOUNT_EXPIRES_AT</x:v>
      </x:c>
      <x:c r="E207" s="14" t="str">
        <x:v>SUBACCOUNT_EXPIRES_AT</x:v>
      </x:c>
      <x:c r="F207" s="14" t="str">
        <x:v>⁠0x149d3ada2c5aa2b6f57c0686c14c0d055a55e46ec746397019822615074b1852</x:v>
      </x:c>
      <x:c r="G207" s="14" t="str">
        <x:v>abiEncode</x:v>
      </x:c>
      <x:c r="H207" s="14" t="str"/>
      <x:c r="I207" s="14" t="str">
        <x:v>uint</x:v>
      </x:c>
      <x:c r="J207" s="14" t="str">
        <x:v>account + subaccountActionType</x:v>
      </x:c>
      <x:c r="K207" s="16" t="str">
        <x:v>否</x:v>
      </x:c>
      <x:c r="L207" s="16" t="str">
        <x:v>否</x:v>
      </x:c>
      <x:c r="M207" s="14" t="str">
        <x:v>DataStore 直写(CONTROLLER)</x:v>
      </x:c>
      <x:c r="N207" s="14" t="str">
        <x:v>沿用/见变更表</x:v>
      </x:c>
      <x:c r="O207" s="14" t="str">
        <x:v>FX100Keys.sol / Config.sol / registry-v0.3.2.json</x:v>
      </x:c>
    </x:row>
    <x:row r="208">
      <x:c r="A208" s="16" t="n">
        <x:v>207</x:v>
      </x:c>
      <x:c r="B208" s="14" t="str">
        <x:v>常量</x:v>
      </x:c>
      <x:c r="C208" s="14" t="str">
        <x:v>SUBACCOUNT_ACTION_COUNT</x:v>
      </x:c>
      <x:c r="D208" s="14" t="str">
        <x:v>SUBACCOUNT_ACTION_COUNT</x:v>
      </x:c>
      <x:c r="E208" s="14" t="str">
        <x:v>SUBACCOUNT_ACTION_COUNT</x:v>
      </x:c>
      <x:c r="F208" s="14" t="str">
        <x:v>⁠0xc2f3da5aa5f09347e0b73f8c41d1824641fdefa2ca140b1faf88b7989cd51963</x:v>
      </x:c>
      <x:c r="G208" s="14" t="str">
        <x:v>abiEncode</x:v>
      </x:c>
      <x:c r="H208" s="14" t="str"/>
      <x:c r="I208" s="14" t="str">
        <x:v>uint</x:v>
      </x:c>
      <x:c r="J208" s="14" t="str">
        <x:v>account + subaccountActionType</x:v>
      </x:c>
      <x:c r="K208" s="16" t="str">
        <x:v>否</x:v>
      </x:c>
      <x:c r="L208" s="16" t="str">
        <x:v>否</x:v>
      </x:c>
      <x:c r="M208" s="14" t="str">
        <x:v>DataStore 直写(CONTROLLER)</x:v>
      </x:c>
      <x:c r="N208" s="14" t="str">
        <x:v>沿用/见变更表</x:v>
      </x:c>
      <x:c r="O208" s="14" t="str">
        <x:v>FX100Keys.sol / Config.sol / registry-v0.3.2.json</x:v>
      </x:c>
    </x:row>
    <x:row r="209">
      <x:c r="A209" s="16" t="n">
        <x:v>208</x:v>
      </x:c>
      <x:c r="B209" s="14" t="str">
        <x:v>常量</x:v>
      </x:c>
      <x:c r="C209" s="14" t="str">
        <x:v>SUBACCOUNT_AUTO_TOP_UP_AMOUNT</x:v>
      </x:c>
      <x:c r="D209" s="14" t="str">
        <x:v>SUBACCOUNT_AUTO_TOP_UP_AMOUNT</x:v>
      </x:c>
      <x:c r="E209" s="14" t="str">
        <x:v>SUBACCOUNT_AUTO_TOP_UP_AMOUNT</x:v>
      </x:c>
      <x:c r="F209" s="14" t="str">
        <x:v>⁠0x626604cee3bea157a36201991fa9ed303c7a02a2b0237eaeb00842e2791d62cc</x:v>
      </x:c>
      <x:c r="G209" s="14" t="str">
        <x:v>abiEncode</x:v>
      </x:c>
      <x:c r="H209" s="14" t="str"/>
      <x:c r="I209" s="14" t="str">
        <x:v>uint</x:v>
      </x:c>
      <x:c r="J209" s="14" t="str">
        <x:v>account</x:v>
      </x:c>
      <x:c r="K209" s="16" t="str">
        <x:v>否</x:v>
      </x:c>
      <x:c r="L209" s="16" t="str">
        <x:v>否</x:v>
      </x:c>
      <x:c r="M209" s="14" t="str">
        <x:v>DataStore 直写(CONTROLLER)</x:v>
      </x:c>
      <x:c r="N209" s="14" t="str">
        <x:v>沿用/见变更表</x:v>
      </x:c>
      <x:c r="O209" s="14" t="str">
        <x:v>FX100Keys.sol / Config.sol / registry-v0.3.2.json</x:v>
      </x:c>
    </x:row>
    <x:row r="210">
      <x:c r="A210" s="16" t="n">
        <x:v>209</x:v>
      </x:c>
      <x:c r="B210" s="14" t="str">
        <x:v>常量</x:v>
      </x:c>
      <x:c r="C210" s="14" t="str">
        <x:v>SUBACCOUNT_ORDER_ACTION</x:v>
      </x:c>
      <x:c r="D210" s="14" t="str">
        <x:v>SUBACCOUNT_ORDER_ACTION</x:v>
      </x:c>
      <x:c r="E210" s="14" t="str">
        <x:v>SUBACCOUNT_ORDER_ACTION</x:v>
      </x:c>
      <x:c r="F210" s="14" t="str">
        <x:v>⁠0x2a0791687fd34f2095c484a9fa4e25057d3ef79a97fcd8c61436047a7bdf4cbe</x:v>
      </x:c>
      <x:c r="G210" s="14" t="str">
        <x:v>abiEncode</x:v>
      </x:c>
      <x:c r="H210" s="14" t="str"/>
      <x:c r="I210" s="14" t="str"/>
      <x:c r="J210" s="14" t="str">
        <x:v>global/raw</x:v>
      </x:c>
      <x:c r="K210" s="16" t="str">
        <x:v>否</x:v>
      </x:c>
      <x:c r="L210" s="16" t="str">
        <x:v>否</x:v>
      </x:c>
      <x:c r="M210" s="14" t="str">
        <x:v>DataStore 直写(CONTROLLER)</x:v>
      </x:c>
      <x:c r="N210" s="14" t="str">
        <x:v>沿用/见变更表</x:v>
      </x:c>
      <x:c r="O210" s="14" t="str">
        <x:v>FX100Keys.sol / Config.sol / registry-v0.3.2.json</x:v>
      </x:c>
    </x:row>
    <x:row r="211">
      <x:c r="A211" s="16" t="n">
        <x:v>210</x:v>
      </x:c>
      <x:c r="B211" s="14" t="str">
        <x:v>常量</x:v>
      </x:c>
      <x:c r="C211" s="14" t="str">
        <x:v>SUBACCOUNT_INTEGRATION_ID</x:v>
      </x:c>
      <x:c r="D211" s="14" t="str">
        <x:v>SUBACCOUNT_INTEGRATION_ID</x:v>
      </x:c>
      <x:c r="E211" s="14" t="str">
        <x:v>SUBACCOUNT_INTEGRATION_ID</x:v>
      </x:c>
      <x:c r="F211" s="14" t="str">
        <x:v>⁠0x7ada53ad4d1a006a2245a7986871fe976ef8601f18462355adafe410de7af3a7</x:v>
      </x:c>
      <x:c r="G211" s="14" t="str">
        <x:v>abiEncode</x:v>
      </x:c>
      <x:c r="H211" s="14" t="str"/>
      <x:c r="I211" s="14" t="str">
        <x:v>bytes32</x:v>
      </x:c>
      <x:c r="J211" s="14" t="str">
        <x:v>account</x:v>
      </x:c>
      <x:c r="K211" s="16" t="str">
        <x:v>否</x:v>
      </x:c>
      <x:c r="L211" s="16" t="str">
        <x:v>否</x:v>
      </x:c>
      <x:c r="M211" s="14" t="str">
        <x:v>DataStore 直写(CONTROLLER)</x:v>
      </x:c>
      <x:c r="N211" s="14" t="str">
        <x:v>沿用/见变更表</x:v>
      </x:c>
      <x:c r="O211" s="14" t="str">
        <x:v>FX100Keys.sol / Config.sol / registry-v0.3.2.json</x:v>
      </x:c>
    </x:row>
    <x:row r="212">
      <x:c r="A212" s="16" t="n">
        <x:v>211</x:v>
      </x:c>
      <x:c r="B212" s="14" t="str">
        <x:v>常量</x:v>
      </x:c>
      <x:c r="C212" s="14" t="str">
        <x:v>SUBACCOUNT_INTEGRATION_DISABLED</x:v>
      </x:c>
      <x:c r="D212" s="14" t="str">
        <x:v>SUBACCOUNT_INTEGRATION_DISABLED</x:v>
      </x:c>
      <x:c r="E212" s="14" t="str">
        <x:v>SUBACCOUNT_INTEGRATION_DISABLED</x:v>
      </x:c>
      <x:c r="F212" s="14" t="str">
        <x:v>⁠0x8d734a366f5d131dc95f890b6271ef8b6e955589ae95622cb8c196d5624f1d1b</x:v>
      </x:c>
      <x:c r="G212" s="14" t="str">
        <x:v>abiEncode</x:v>
      </x:c>
      <x:c r="H212" s="14" t="str"/>
      <x:c r="I212" s="14" t="str">
        <x:v>bool</x:v>
      </x:c>
      <x:c r="J212" s="14" t="str">
        <x:v>integrationId</x:v>
      </x:c>
      <x:c r="K212" s="16" t="str">
        <x:v>是</x:v>
      </x:c>
      <x:c r="L212" s="16" t="str">
        <x:v>否</x:v>
      </x:c>
      <x:c r="M212" s="14" t="str">
        <x:v>Config(CONFIG_KEEPER)</x:v>
      </x:c>
      <x:c r="N212" s="14" t="str">
        <x:v>沿用/见变更表</x:v>
      </x:c>
      <x:c r="O212" s="14" t="str">
        <x:v>FX100Keys.sol / Config.sol / registry-v0.3.2.json</x:v>
      </x:c>
    </x:row>
    <x:row r="213">
      <x:c r="A213" s="16" t="n">
        <x:v>212</x:v>
      </x:c>
      <x:c r="B213" s="14" t="str">
        <x:v>常量</x:v>
      </x:c>
      <x:c r="C213" s="14" t="str">
        <x:v>FEE_DISTRIBUTOR_SWAP_TOKEN_INDEX</x:v>
      </x:c>
      <x:c r="D213" s="14" t="str">
        <x:v>FEE_DISTRIBUTOR_SWAP_TOKEN_INDEX</x:v>
      </x:c>
      <x:c r="E213" s="14" t="str">
        <x:v>FEE_DISTRIBUTOR_SWAP_TOKEN_INDEX</x:v>
      </x:c>
      <x:c r="F213" s="14" t="str">
        <x:v>⁠0x28b2bbdb54181baf7c5968b49d2bd8d901e8da30d09057fc68158da6e94e4e8a</x:v>
      </x:c>
      <x:c r="G213" s="14" t="str">
        <x:v>abiEncode</x:v>
      </x:c>
      <x:c r="H213" s="14" t="str"/>
      <x:c r="I213" s="14" t="str"/>
      <x:c r="J213" s="14" t="str">
        <x:v>global/raw</x:v>
      </x:c>
      <x:c r="K213" s="16" t="str">
        <x:v>否</x:v>
      </x:c>
      <x:c r="L213" s="16" t="str">
        <x:v>否</x:v>
      </x:c>
      <x:c r="M213" s="14" t="str">
        <x:v>DataStore 直写(CONTROLLER)</x:v>
      </x:c>
      <x:c r="N213" s="14" t="str">
        <x:v>沿用/见变更表</x:v>
      </x:c>
      <x:c r="O213" s="14" t="str">
        <x:v>FX100Keys.sol / Config.sol / registry-v0.3.2.json</x:v>
      </x:c>
    </x:row>
    <x:row r="214">
      <x:c r="A214" s="16" t="n">
        <x:v>213</x:v>
      </x:c>
      <x:c r="B214" s="14" t="str">
        <x:v>常量</x:v>
      </x:c>
      <x:c r="C214" s="14" t="str">
        <x:v>FEE_DISTRIBUTOR_SWAP_FEE_BATCH</x:v>
      </x:c>
      <x:c r="D214" s="14" t="str">
        <x:v>FEE_DISTRIBUTOR_SWAP_FEE_BATCH</x:v>
      </x:c>
      <x:c r="E214" s="14" t="str">
        <x:v>FEE_DISTRIBUTOR_SWAP_FEE_BATCH</x:v>
      </x:c>
      <x:c r="F214" s="14" t="str">
        <x:v>⁠0xe5ad0718f6580beb7f449f94fc43c0989a0154e16f6993006e6fdee19198f0d9</x:v>
      </x:c>
      <x:c r="G214" s="14" t="str">
        <x:v>abiEncode</x:v>
      </x:c>
      <x:c r="H214" s="14" t="str"/>
      <x:c r="I214" s="14" t="str"/>
      <x:c r="J214" s="14" t="str">
        <x:v>global/raw</x:v>
      </x:c>
      <x:c r="K214" s="16" t="str">
        <x:v>否</x:v>
      </x:c>
      <x:c r="L214" s="16" t="str">
        <x:v>否</x:v>
      </x:c>
      <x:c r="M214" s="14" t="str">
        <x:v>DataStore 直写(CONTROLLER)</x:v>
      </x:c>
      <x:c r="N214" s="14" t="str">
        <x:v>沿用/见变更表</x:v>
      </x:c>
      <x:c r="O214" s="14" t="str">
        <x:v>FX100Keys.sol / Config.sol / registry-v0.3.2.json</x:v>
      </x:c>
    </x:row>
    <x:row r="215">
      <x:c r="A215" s="16" t="n">
        <x:v>214</x:v>
      </x:c>
      <x:c r="B215" s="14" t="str">
        <x:v>常量</x:v>
      </x:c>
      <x:c r="C215" s="14" t="str">
        <x:v>SYNC_CONFIG_FEATURE_DISABLED</x:v>
      </x:c>
      <x:c r="D215" s="14" t="str">
        <x:v>SYNC_CONFIG_FEATURE_DISABLED</x:v>
      </x:c>
      <x:c r="E215" s="14" t="str">
        <x:v>SYNC_CONFIG_FEATURE_DISABLED</x:v>
      </x:c>
      <x:c r="F215" s="14" t="str">
        <x:v>⁠0xed210824b84b6a2c1e2379c8adadc0b34668844a00c4253800c70eae7475b8f0</x:v>
      </x:c>
      <x:c r="G215" s="14" t="str">
        <x:v>abiEncode</x:v>
      </x:c>
      <x:c r="H215" s="14" t="str"/>
      <x:c r="I215" s="14" t="str">
        <x:v>bool</x:v>
      </x:c>
      <x:c r="J215" s="14" t="str">
        <x:v>module</x:v>
      </x:c>
      <x:c r="K215" s="16" t="str">
        <x:v>是</x:v>
      </x:c>
      <x:c r="L215" s="16" t="str">
        <x:v>否</x:v>
      </x:c>
      <x:c r="M215" s="14" t="str">
        <x:v>Config(CONFIG_KEEPER)</x:v>
      </x:c>
      <x:c r="N215" s="14" t="str">
        <x:v>沿用/见变更表</x:v>
      </x:c>
      <x:c r="O215" s="14" t="str">
        <x:v>FX100Keys.sol / Config.sol / registry-v0.3.2.json</x:v>
      </x:c>
    </x:row>
    <x:row r="216">
      <x:c r="A216" s="16" t="n">
        <x:v>215</x:v>
      </x:c>
      <x:c r="B216" s="14" t="str">
        <x:v>常量</x:v>
      </x:c>
      <x:c r="C216" s="14" t="str">
        <x:v>SYNC_CONFIG_MARKET_DISABLED</x:v>
      </x:c>
      <x:c r="D216" s="14" t="str">
        <x:v>SYNC_CONFIG_MARKET_DISABLED</x:v>
      </x:c>
      <x:c r="E216" s="14" t="str">
        <x:v>SYNC_CONFIG_MARKET_DISABLED</x:v>
      </x:c>
      <x:c r="F216" s="14" t="str">
        <x:v>⁠0xd85ecfd36cc7009af0b46342592bd301fbb55b5ebd333597ee98b20d9c67b2c9</x:v>
      </x:c>
      <x:c r="G216" s="14" t="str">
        <x:v>abiEncode</x:v>
      </x:c>
      <x:c r="H216" s="14" t="str"/>
      <x:c r="I216" s="14" t="str">
        <x:v>bool</x:v>
      </x:c>
      <x:c r="J216" s="14" t="str">
        <x:v>market</x:v>
      </x:c>
      <x:c r="K216" s="16" t="str">
        <x:v>是</x:v>
      </x:c>
      <x:c r="L216" s="16" t="str">
        <x:v>否</x:v>
      </x:c>
      <x:c r="M216" s="14" t="str">
        <x:v>Config(CONFIG_KEEPER)</x:v>
      </x:c>
      <x:c r="N216" s="14" t="str">
        <x:v>沿用/见变更表</x:v>
      </x:c>
      <x:c r="O216" s="14" t="str">
        <x:v>FX100Keys.sol / Config.sol / registry-v0.3.2.json</x:v>
      </x:c>
    </x:row>
    <x:row r="217">
      <x:c r="A217" s="16" t="n">
        <x:v>216</x:v>
      </x:c>
      <x:c r="B217" s="14" t="str">
        <x:v>常量</x:v>
      </x:c>
      <x:c r="C217" s="14" t="str">
        <x:v>SYNC_CONFIG_PARAMETER_DISABLED</x:v>
      </x:c>
      <x:c r="D217" s="14" t="str">
        <x:v>SYNC_CONFIG_PARAMETER_DISABLED</x:v>
      </x:c>
      <x:c r="E217" s="14" t="str">
        <x:v>SYNC_CONFIG_PARAMETER_DISABLED</x:v>
      </x:c>
      <x:c r="F217" s="14" t="str">
        <x:v>⁠0x1d126137de5e6ba87330c5d7a638a8f90d5ea0993555cf9bc7246ca680eee068</x:v>
      </x:c>
      <x:c r="G217" s="14" t="str">
        <x:v>abiEncode</x:v>
      </x:c>
      <x:c r="H217" s="14" t="str"/>
      <x:c r="I217" s="14" t="str">
        <x:v>bool</x:v>
      </x:c>
      <x:c r="J217" s="14" t="str">
        <x:v>configParameterName</x:v>
      </x:c>
      <x:c r="K217" s="16" t="str">
        <x:v>是</x:v>
      </x:c>
      <x:c r="L217" s="16" t="str">
        <x:v>否</x:v>
      </x:c>
      <x:c r="M217" s="14" t="str">
        <x:v>Config(CONFIG_KEEPER)</x:v>
      </x:c>
      <x:c r="N217" s="14" t="str">
        <x:v>沿用/见变更表</x:v>
      </x:c>
      <x:c r="O217" s="14" t="str">
        <x:v>FX100Keys.sol / Config.sol / registry-v0.3.2.json</x:v>
      </x:c>
    </x:row>
    <x:row r="218">
      <x:c r="A218" s="16" t="n">
        <x:v>217</x:v>
      </x:c>
      <x:c r="B218" s="14" t="str">
        <x:v>常量</x:v>
      </x:c>
      <x:c r="C218" s="14" t="str">
        <x:v>SYNC_CONFIG_MARKET_PARAMETER_DISABLED</x:v>
      </x:c>
      <x:c r="D218" s="14" t="str">
        <x:v>SYNC_CONFIG_MARKET_PARAMETER_DISABLED</x:v>
      </x:c>
      <x:c r="E218" s="14" t="str">
        <x:v>SYNC_CONFIG_MARKET_PARAMETER_DISABLED</x:v>
      </x:c>
      <x:c r="F218" s="14" t="str">
        <x:v>⁠0x813af6d484d6848eb092289ed762612aeb03152be2a7acc3dc3fefa408cbe7ee</x:v>
      </x:c>
      <x:c r="G218" s="14" t="str">
        <x:v>abiEncode</x:v>
      </x:c>
      <x:c r="H218" s="14" t="str"/>
      <x:c r="I218" s="14" t="str">
        <x:v>bool</x:v>
      </x:c>
      <x:c r="J218" s="14" t="str">
        <x:v>market + configParameterName</x:v>
      </x:c>
      <x:c r="K218" s="16" t="str">
        <x:v>是</x:v>
      </x:c>
      <x:c r="L218" s="16" t="str">
        <x:v>否</x:v>
      </x:c>
      <x:c r="M218" s="14" t="str">
        <x:v>Config(CONFIG_KEEPER)</x:v>
      </x:c>
      <x:c r="N218" s="14" t="str">
        <x:v>沿用/见变更表</x:v>
      </x:c>
      <x:c r="O218" s="14" t="str">
        <x:v>FX100Keys.sol / Config.sol / registry-v0.3.2.json</x:v>
      </x:c>
    </x:row>
    <x:row r="219">
      <x:c r="A219" s="16" t="n">
        <x:v>218</x:v>
      </x:c>
      <x:c r="B219" s="14" t="str">
        <x:v>常量</x:v>
      </x:c>
      <x:c r="C219" s="14" t="str">
        <x:v>SYNC_CONFIG_UPDATE_COMPLETED</x:v>
      </x:c>
      <x:c r="D219" s="14" t="str">
        <x:v>SYNC_CONFIG_UPDATE_COMPLETED</x:v>
      </x:c>
      <x:c r="E219" s="14" t="str">
        <x:v>SYNC_CONFIG_UPDATE_COMPLETED</x:v>
      </x:c>
      <x:c r="F219" s="14" t="str">
        <x:v>⁠0xd28664b9dfba2be8e6ab0a3234643ead8074a04c1cf5be8a0a5dc58295e490b9</x:v>
      </x:c>
      <x:c r="G219" s="14" t="str">
        <x:v>abiEncode</x:v>
      </x:c>
      <x:c r="H219" s="14" t="str"/>
      <x:c r="I219" s="14" t="str">
        <x:v>bool</x:v>
      </x:c>
      <x:c r="J219" s="14" t="str">
        <x:v>updateId</x:v>
      </x:c>
      <x:c r="K219" s="16" t="str">
        <x:v>否</x:v>
      </x:c>
      <x:c r="L219" s="16" t="str">
        <x:v>否</x:v>
      </x:c>
      <x:c r="M219" s="14" t="str">
        <x:v>DataStore 直写(CONTROLLER)</x:v>
      </x:c>
      <x:c r="N219" s="14" t="str">
        <x:v>沿用/见变更表</x:v>
      </x:c>
      <x:c r="O219" s="14" t="str">
        <x:v>FX100Keys.sol / Config.sol / registry-v0.3.2.json</x:v>
      </x:c>
    </x:row>
    <x:row r="220">
      <x:c r="A220" s="16" t="n">
        <x:v>219</x:v>
      </x:c>
      <x:c r="B220" s="14" t="str">
        <x:v>常量</x:v>
      </x:c>
      <x:c r="C220" s="14" t="str">
        <x:v>SYNC_CONFIG_LATEST_UPDATE_ID</x:v>
      </x:c>
      <x:c r="D220" s="14" t="str">
        <x:v>SYNC_CONFIG_LATEST_UPDATE_ID</x:v>
      </x:c>
      <x:c r="E220" s="14" t="str">
        <x:v>SYNC_CONFIG_LATEST_UPDATE_ID</x:v>
      </x:c>
      <x:c r="F220" s="14" t="str">
        <x:v>⁠0x161afdac3166e7c6854f809cbaf5b900805bee975d3a5025502820f6a541dcbb</x:v>
      </x:c>
      <x:c r="G220" s="14" t="str">
        <x:v>abiEncode</x:v>
      </x:c>
      <x:c r="H220" s="14" t="str"/>
      <x:c r="I220" s="14" t="str">
        <x:v>uint</x:v>
      </x:c>
      <x:c r="J220" s="14" t="str">
        <x:v>global/raw</x:v>
      </x:c>
      <x:c r="K220" s="16" t="str">
        <x:v>否</x:v>
      </x:c>
      <x:c r="L220" s="16" t="str">
        <x:v>否</x:v>
      </x:c>
      <x:c r="M220" s="14" t="str">
        <x:v>DataStore 直写(CONTROLLER)</x:v>
      </x:c>
      <x:c r="N220" s="14" t="str">
        <x:v>沿用/见变更表</x:v>
      </x:c>
      <x:c r="O220" s="14" t="str">
        <x:v>FX100Keys.sol / Config.sol / registry-v0.3.2.json</x:v>
      </x:c>
    </x:row>
    <x:row r="221">
      <x:c r="A221" s="16" t="n">
        <x:v>220</x:v>
      </x:c>
      <x:c r="B221" s="14" t="str">
        <x:v>常量</x:v>
      </x:c>
      <x:c r="C221" s="14" t="str">
        <x:v>CONTRIBUTOR_ACCOUNT_LIST</x:v>
      </x:c>
      <x:c r="D221" s="14" t="str">
        <x:v>CONTRIBUTOR_ACCOUNT_LIST</x:v>
      </x:c>
      <x:c r="E221" s="14" t="str">
        <x:v>CONTRIBUTOR_ACCOUNT_LIST</x:v>
      </x:c>
      <x:c r="F221" s="14" t="str">
        <x:v>⁠0x50b0e78c3e0339a1361ed3a91c37da7dbd3dc10182b4d7ebe59ab07ed8b2d0e4</x:v>
      </x:c>
      <x:c r="G221" s="14" t="str">
        <x:v>abiEncode</x:v>
      </x:c>
      <x:c r="H221" s="14" t="str"/>
      <x:c r="I221" s="14" t="str"/>
      <x:c r="J221" s="14" t="str">
        <x:v>global/raw</x:v>
      </x:c>
      <x:c r="K221" s="16" t="str">
        <x:v>否</x:v>
      </x:c>
      <x:c r="L221" s="16" t="str">
        <x:v>否</x:v>
      </x:c>
      <x:c r="M221" s="14" t="str">
        <x:v>DataStore 直写(CONTROLLER)</x:v>
      </x:c>
      <x:c r="N221" s="14" t="str">
        <x:v>沿用/见变更表</x:v>
      </x:c>
      <x:c r="O221" s="14" t="str">
        <x:v>FX100Keys.sol / Config.sol / registry-v0.3.2.json</x:v>
      </x:c>
    </x:row>
    <x:row r="222">
      <x:c r="A222" s="16" t="n">
        <x:v>221</x:v>
      </x:c>
      <x:c r="B222" s="14" t="str">
        <x:v>常量</x:v>
      </x:c>
      <x:c r="C222" s="14" t="str">
        <x:v>CONTRIBUTOR_TOKEN_LIST</x:v>
      </x:c>
      <x:c r="D222" s="14" t="str">
        <x:v>CONTRIBUTOR_TOKEN_LIST</x:v>
      </x:c>
      <x:c r="E222" s="14" t="str">
        <x:v>CONTRIBUTOR_TOKEN_LIST</x:v>
      </x:c>
      <x:c r="F222" s="14" t="str">
        <x:v>⁠0xeab8251c23d595727ae1a811d578657e8c8d65c416e6c9894b41ba721892dc95</x:v>
      </x:c>
      <x:c r="G222" s="14" t="str">
        <x:v>abiEncode</x:v>
      </x:c>
      <x:c r="H222" s="14" t="str"/>
      <x:c r="I222" s="14" t="str"/>
      <x:c r="J222" s="14" t="str">
        <x:v>global/raw</x:v>
      </x:c>
      <x:c r="K222" s="16" t="str">
        <x:v>否</x:v>
      </x:c>
      <x:c r="L222" s="16" t="str">
        <x:v>否</x:v>
      </x:c>
      <x:c r="M222" s="14" t="str">
        <x:v>DataStore 直写(CONTROLLER)</x:v>
      </x:c>
      <x:c r="N222" s="14" t="str">
        <x:v>沿用/见变更表</x:v>
      </x:c>
      <x:c r="O222" s="14" t="str">
        <x:v>FX100Keys.sol / Config.sol / registry-v0.3.2.json</x:v>
      </x:c>
    </x:row>
    <x:row r="223">
      <x:c r="A223" s="16" t="n">
        <x:v>222</x:v>
      </x:c>
      <x:c r="B223" s="14" t="str">
        <x:v>常量</x:v>
      </x:c>
      <x:c r="C223" s="14" t="str">
        <x:v>CONTRIBUTOR_TOKEN_AMOUNT</x:v>
      </x:c>
      <x:c r="D223" s="14" t="str">
        <x:v>CONTRIBUTOR_TOKEN_AMOUNT</x:v>
      </x:c>
      <x:c r="E223" s="14" t="str">
        <x:v>CONTRIBUTOR_TOKEN_AMOUNT</x:v>
      </x:c>
      <x:c r="F223" s="14" t="str">
        <x:v>⁠0x948d759fedd620f2ce392c9aa9646016730bec7ed867328714076abe6abd5c6d</x:v>
      </x:c>
      <x:c r="G223" s="14" t="str">
        <x:v>abiEncode</x:v>
      </x:c>
      <x:c r="H223" s="14" t="str"/>
      <x:c r="I223" s="14" t="str"/>
      <x:c r="J223" s="14" t="str">
        <x:v>global/raw</x:v>
      </x:c>
      <x:c r="K223" s="16" t="str">
        <x:v>否</x:v>
      </x:c>
      <x:c r="L223" s="16" t="str">
        <x:v>否</x:v>
      </x:c>
      <x:c r="M223" s="14" t="str">
        <x:v>DataStore 直写(CONTROLLER)</x:v>
      </x:c>
      <x:c r="N223" s="14" t="str">
        <x:v>沿用/见变更表</x:v>
      </x:c>
      <x:c r="O223" s="14" t="str">
        <x:v>FX100Keys.sol / Config.sol / registry-v0.3.2.json</x:v>
      </x:c>
    </x:row>
    <x:row r="224">
      <x:c r="A224" s="16" t="n">
        <x:v>223</x:v>
      </x:c>
      <x:c r="B224" s="14" t="str">
        <x:v>常量</x:v>
      </x:c>
      <x:c r="C224" s="14" t="str">
        <x:v>MAX_TOTAL_CONTRIBUTOR_TOKEN_AMOUNT</x:v>
      </x:c>
      <x:c r="D224" s="14" t="str">
        <x:v>MAX_TOTAL_CONTRIBUTOR_TOKEN_AMOUNT</x:v>
      </x:c>
      <x:c r="E224" s="14" t="str">
        <x:v>MAX_TOTAL_CONTRIBUTOR_TOKEN_AMOUNT</x:v>
      </x:c>
      <x:c r="F224" s="14" t="str">
        <x:v>⁠0xfc4843ae5b95543bb09b22411e6ab57db76d11d09d3c3435a84bf3bc76fe737f</x:v>
      </x:c>
      <x:c r="G224" s="14" t="str">
        <x:v>abiEncode</x:v>
      </x:c>
      <x:c r="H224" s="14" t="str"/>
      <x:c r="I224" s="14" t="str"/>
      <x:c r="J224" s="14" t="str">
        <x:v>global/raw</x:v>
      </x:c>
      <x:c r="K224" s="16" t="str">
        <x:v>否</x:v>
      </x:c>
      <x:c r="L224" s="16" t="str">
        <x:v>否</x:v>
      </x:c>
      <x:c r="M224" s="14" t="str">
        <x:v>DataStore 直写(CONTROLLER)</x:v>
      </x:c>
      <x:c r="N224" s="14" t="str">
        <x:v>沿用/见变更表</x:v>
      </x:c>
      <x:c r="O224" s="14" t="str">
        <x:v>FX100Keys.sol / Config.sol / registry-v0.3.2.json</x:v>
      </x:c>
    </x:row>
    <x:row r="225">
      <x:c r="A225" s="16" t="n">
        <x:v>224</x:v>
      </x:c>
      <x:c r="B225" s="14" t="str">
        <x:v>常量</x:v>
      </x:c>
      <x:c r="C225" s="14" t="str">
        <x:v>CONTRIBUTOR_FUNDING_ACCOUNT</x:v>
      </x:c>
      <x:c r="D225" s="14" t="str">
        <x:v>CONTRIBUTOR_FUNDING_ACCOUNT</x:v>
      </x:c>
      <x:c r="E225" s="14" t="str">
        <x:v>CONTRIBUTOR_FUNDING_ACCOUNT</x:v>
      </x:c>
      <x:c r="F225" s="14" t="str">
        <x:v>⁠0xfbfce7afde079f2651cbaad793dfb4cb4dce461c3e5a92d546164952a8674fd6</x:v>
      </x:c>
      <x:c r="G225" s="14" t="str">
        <x:v>abiEncode</x:v>
      </x:c>
      <x:c r="H225" s="14" t="str"/>
      <x:c r="I225" s="14" t="str"/>
      <x:c r="J225" s="14" t="str">
        <x:v>global/raw</x:v>
      </x:c>
      <x:c r="K225" s="16" t="str">
        <x:v>否</x:v>
      </x:c>
      <x:c r="L225" s="16" t="str">
        <x:v>否</x:v>
      </x:c>
      <x:c r="M225" s="14" t="str">
        <x:v>DataStore 直写(CONTROLLER)</x:v>
      </x:c>
      <x:c r="N225" s="14" t="str">
        <x:v>沿用/见变更表</x:v>
      </x:c>
      <x:c r="O225" s="14" t="str">
        <x:v>FX100Keys.sol / Config.sol / registry-v0.3.2.json</x:v>
      </x:c>
    </x:row>
    <x:row r="226">
      <x:c r="A226" s="16" t="n">
        <x:v>225</x:v>
      </x:c>
      <x:c r="B226" s="14" t="str">
        <x:v>常量</x:v>
      </x:c>
      <x:c r="C226" s="14" t="str">
        <x:v>CUSTOM_CONTRIBUTOR_FUNDING_ACCOUNT</x:v>
      </x:c>
      <x:c r="D226" s="14" t="str">
        <x:v>CUSTOM_CONTRIBUTOR_FUNDING_ACCOUNT</x:v>
      </x:c>
      <x:c r="E226" s="14" t="str">
        <x:v>CUSTOM_CONTRIBUTOR_FUNDING_ACCOUNT</x:v>
      </x:c>
      <x:c r="F226" s="14" t="str">
        <x:v>⁠0xe59ac7b985b64d0578b060cdc0e52ad3cacfaefc055751983d3a268cafab9cf9</x:v>
      </x:c>
      <x:c r="G226" s="14" t="str">
        <x:v>abiEncode</x:v>
      </x:c>
      <x:c r="H226" s="14" t="str"/>
      <x:c r="I226" s="14" t="str"/>
      <x:c r="J226" s="14" t="str">
        <x:v>global/raw</x:v>
      </x:c>
      <x:c r="K226" s="16" t="str">
        <x:v>否</x:v>
      </x:c>
      <x:c r="L226" s="16" t="str">
        <x:v>否</x:v>
      </x:c>
      <x:c r="M226" s="14" t="str">
        <x:v>DataStore 直写(CONTROLLER)</x:v>
      </x:c>
      <x:c r="N226" s="14" t="str">
        <x:v>沿用/见变更表</x:v>
      </x:c>
      <x:c r="O226" s="14" t="str">
        <x:v>FX100Keys.sol / Config.sol / registry-v0.3.2.json</x:v>
      </x:c>
    </x:row>
    <x:row r="227">
      <x:c r="A227" s="16" t="n">
        <x:v>226</x:v>
      </x:c>
      <x:c r="B227" s="14" t="str">
        <x:v>常量</x:v>
      </x:c>
      <x:c r="C227" s="14" t="str">
        <x:v>CONTRIBUTOR_LAST_PAYMENT_AT</x:v>
      </x:c>
      <x:c r="D227" s="14" t="str">
        <x:v>CONTRIBUTOR_LAST_PAYMENT_AT</x:v>
      </x:c>
      <x:c r="E227" s="14" t="str">
        <x:v>CONTRIBUTOR_LAST_PAYMENT_AT</x:v>
      </x:c>
      <x:c r="F227" s="14" t="str">
        <x:v>⁠0x5b1043fcfd55b3ecce8da1184425c0eb9d353e8f067ba4cff246948220c21629</x:v>
      </x:c>
      <x:c r="G227" s="14" t="str">
        <x:v>abiEncode</x:v>
      </x:c>
      <x:c r="H227" s="14" t="str"/>
      <x:c r="I227" s="14" t="str"/>
      <x:c r="J227" s="14" t="str">
        <x:v>global/raw</x:v>
      </x:c>
      <x:c r="K227" s="16" t="str">
        <x:v>否</x:v>
      </x:c>
      <x:c r="L227" s="16" t="str">
        <x:v>否</x:v>
      </x:c>
      <x:c r="M227" s="14" t="str">
        <x:v>DataStore 直写(CONTROLLER)</x:v>
      </x:c>
      <x:c r="N227" s="14" t="str">
        <x:v>沿用/见变更表</x:v>
      </x:c>
      <x:c r="O227" s="14" t="str">
        <x:v>FX100Keys.sol / Config.sol / registry-v0.3.2.json</x:v>
      </x:c>
    </x:row>
    <x:row r="228">
      <x:c r="A228" s="16" t="n">
        <x:v>227</x:v>
      </x:c>
      <x:c r="B228" s="14" t="str">
        <x:v>常量</x:v>
      </x:c>
      <x:c r="C228" s="14" t="str">
        <x:v>MIN_CONTRIBUTOR_PAYMENT_INTERVAL</x:v>
      </x:c>
      <x:c r="D228" s="14" t="str">
        <x:v>MIN_CONTRIBUTOR_PAYMENT_INTERVAL</x:v>
      </x:c>
      <x:c r="E228" s="14" t="str">
        <x:v>MIN_CONTRIBUTOR_PAYMENT_INTERVAL</x:v>
      </x:c>
      <x:c r="F228" s="14" t="str">
        <x:v>⁠0x549358ca6261b67761ba484e221b39ab30378beccd743446e1bf93af12f8e010</x:v>
      </x:c>
      <x:c r="G228" s="14" t="str">
        <x:v>abiEncode</x:v>
      </x:c>
      <x:c r="H228" s="14" t="str"/>
      <x:c r="I228" s="14" t="str"/>
      <x:c r="J228" s="14" t="str">
        <x:v>global/raw</x:v>
      </x:c>
      <x:c r="K228" s="16" t="str">
        <x:v>否</x:v>
      </x:c>
      <x:c r="L228" s="16" t="str">
        <x:v>否</x:v>
      </x:c>
      <x:c r="M228" s="14" t="str">
        <x:v>DataStore 直写(CONTROLLER)</x:v>
      </x:c>
      <x:c r="N228" s="14" t="str">
        <x:v>沿用/见变更表</x:v>
      </x:c>
      <x:c r="O228" s="14" t="str">
        <x:v>FX100Keys.sol / Config.sol / registry-v0.3.2.json</x:v>
      </x:c>
    </x:row>
    <x:row r="229">
      <x:c r="A229" s="16" t="n">
        <x:v>228</x:v>
      </x:c>
      <x:c r="B229" s="14" t="str">
        <x:v>常量</x:v>
      </x:c>
      <x:c r="C229" s="14" t="str">
        <x:v>AVAILABLE_FEE_AMOUNT</x:v>
      </x:c>
      <x:c r="D229" s="14" t="str">
        <x:v>AVAILABLE_FEE_AMOUNT</x:v>
      </x:c>
      <x:c r="E229" s="14" t="str">
        <x:v>AVAILABLE_FEE_AMOUNT</x:v>
      </x:c>
      <x:c r="F229" s="14" t="str">
        <x:v>⁠0xe1d7c1b420c642bbf3ea4bf7113fd1dc016bcebaf3e2791cb7b2020b16cb547e</x:v>
      </x:c>
      <x:c r="G229" s="14" t="str">
        <x:v>abiEncode</x:v>
      </x:c>
      <x:c r="H229" s="14" t="str"/>
      <x:c r="I229" s="14" t="str">
        <x:v>uint</x:v>
      </x:c>
      <x:c r="J229" s="14" t="str">
        <x:v>token + feeType</x:v>
      </x:c>
      <x:c r="K229" s="16" t="str">
        <x:v>否</x:v>
      </x:c>
      <x:c r="L229" s="16" t="str">
        <x:v>否</x:v>
      </x:c>
      <x:c r="M229" s="14" t="str">
        <x:v>DataStore 直写(CONTROLLER)</x:v>
      </x:c>
      <x:c r="N229" s="14" t="str">
        <x:v>沿用/见变更表</x:v>
      </x:c>
      <x:c r="O229" s="14" t="str">
        <x:v>FX100Keys.sol / Config.sol / registry-v0.3.2.json</x:v>
      </x:c>
    </x:row>
    <x:row r="230">
      <x:c r="A230" s="16" t="n">
        <x:v>229</x:v>
      </x:c>
      <x:c r="B230" s="14" t="str">
        <x:v>常量</x:v>
      </x:c>
      <x:c r="C230" s="14" t="str">
        <x:v>MULTICHAIN_BALANCE</x:v>
      </x:c>
      <x:c r="D230" s="14" t="str">
        <x:v>MULTICHAIN_BALANCE</x:v>
      </x:c>
      <x:c r="E230" s="14" t="str">
        <x:v>MULTICHAIN_BALANCE</x:v>
      </x:c>
      <x:c r="F230" s="14" t="str">
        <x:v>⁠0x3150e34ed2bc2912771bc28ae1945c3db4b3312273ef8f506b4064ad77528236</x:v>
      </x:c>
      <x:c r="G230" s="14" t="str">
        <x:v>abiEncode</x:v>
      </x:c>
      <x:c r="H230" s="14" t="str"/>
      <x:c r="I230" s="14" t="str"/>
      <x:c r="J230" s="14" t="str">
        <x:v>global/raw</x:v>
      </x:c>
      <x:c r="K230" s="16" t="str">
        <x:v>否</x:v>
      </x:c>
      <x:c r="L230" s="16" t="str">
        <x:v>否</x:v>
      </x:c>
      <x:c r="M230" s="14" t="str">
        <x:v>DataStore 直写(CONTROLLER)</x:v>
      </x:c>
      <x:c r="N230" s="14" t="str">
        <x:v>沿用/见变更表</x:v>
      </x:c>
      <x:c r="O230" s="14" t="str">
        <x:v>FX100Keys.sol / Config.sol / registry-v0.3.2.json</x:v>
      </x:c>
    </x:row>
    <x:row r="231">
      <x:c r="A231" s="16" t="n">
        <x:v>230</x:v>
      </x:c>
      <x:c r="B231" s="14" t="str">
        <x:v>常量</x:v>
      </x:c>
      <x:c r="C231" s="14" t="str">
        <x:v>IS_MULTICHAIN_PROVIDER_ENABLED</x:v>
      </x:c>
      <x:c r="D231" s="14" t="str">
        <x:v>IS_MULTICHAIN_PROVIDER_ENABLED</x:v>
      </x:c>
      <x:c r="E231" s="14" t="str">
        <x:v>IS_MULTICHAIN_PROVIDER_ENABLED</x:v>
      </x:c>
      <x:c r="F231" s="14" t="str">
        <x:v>⁠0xed4e6b58afae719ce062d8d683b6dc473cc97ccd984f27261ce869d7df6b194f</x:v>
      </x:c>
      <x:c r="G231" s="14" t="str">
        <x:v>abiEncode</x:v>
      </x:c>
      <x:c r="H231" s="14" t="str"/>
      <x:c r="I231" s="14" t="str">
        <x:v>bool</x:v>
      </x:c>
      <x:c r="J231" s="14" t="str">
        <x:v>global/raw</x:v>
      </x:c>
      <x:c r="K231" s="16" t="str">
        <x:v>是</x:v>
      </x:c>
      <x:c r="L231" s="16" t="str">
        <x:v>否</x:v>
      </x:c>
      <x:c r="M231" s="14" t="str">
        <x:v>Config(CONFIG_KEEPER)</x:v>
      </x:c>
      <x:c r="N231" s="14" t="str">
        <x:v>沿用/见变更表</x:v>
      </x:c>
      <x:c r="O231" s="14" t="str">
        <x:v>FX100Keys.sol / Config.sol / registry-v0.3.2.json</x:v>
      </x:c>
    </x:row>
    <x:row r="232">
      <x:c r="A232" s="16" t="n">
        <x:v>231</x:v>
      </x:c>
      <x:c r="B232" s="14" t="str">
        <x:v>常量</x:v>
      </x:c>
      <x:c r="C232" s="14" t="str">
        <x:v>IS_MULTICHAIN_ENDPOINT_ENABLED</x:v>
      </x:c>
      <x:c r="D232" s="14" t="str">
        <x:v>IS_MULTICHAIN_ENDPOINT_ENABLED</x:v>
      </x:c>
      <x:c r="E232" s="14" t="str">
        <x:v>IS_MULTICHAIN_ENDPOINT_ENABLED</x:v>
      </x:c>
      <x:c r="F232" s="14" t="str">
        <x:v>⁠0xfe74bac295538d4ac4620af0721d4cf269aca96165492ebcfd7ab06a212cbb57</x:v>
      </x:c>
      <x:c r="G232" s="14" t="str">
        <x:v>abiEncode</x:v>
      </x:c>
      <x:c r="H232" s="14" t="str"/>
      <x:c r="I232" s="14" t="str">
        <x:v>bool</x:v>
      </x:c>
      <x:c r="J232" s="14" t="str">
        <x:v>global/raw</x:v>
      </x:c>
      <x:c r="K232" s="16" t="str">
        <x:v>是</x:v>
      </x:c>
      <x:c r="L232" s="16" t="str">
        <x:v>否</x:v>
      </x:c>
      <x:c r="M232" s="14" t="str">
        <x:v>Config(CONFIG_KEEPER)</x:v>
      </x:c>
      <x:c r="N232" s="14" t="str">
        <x:v>沿用/见变更表</x:v>
      </x:c>
      <x:c r="O232" s="14" t="str">
        <x:v>FX100Keys.sol / Config.sol / registry-v0.3.2.json</x:v>
      </x:c>
    </x:row>
    <x:row r="233">
      <x:c r="A233" s="16" t="n">
        <x:v>232</x:v>
      </x:c>
      <x:c r="B233" s="14" t="str">
        <x:v>常量</x:v>
      </x:c>
      <x:c r="C233" s="14" t="str">
        <x:v>IS_RELAY_FEE_EXCLUDED</x:v>
      </x:c>
      <x:c r="D233" s="14" t="str">
        <x:v>IS_RELAY_FEE_EXCLUDED</x:v>
      </x:c>
      <x:c r="E233" s="14" t="str">
        <x:v>IS_RELAY_FEE_EXCLUDED</x:v>
      </x:c>
      <x:c r="F233" s="14" t="str">
        <x:v>⁠0xb5f0179d012748aa521a4e5777fc5bcda2202abd9dbc7c22ea02b561e8a613ae</x:v>
      </x:c>
      <x:c r="G233" s="14" t="str">
        <x:v>abiEncode</x:v>
      </x:c>
      <x:c r="H233" s="14" t="str"/>
      <x:c r="I233" s="14" t="str">
        <x:v>bool</x:v>
      </x:c>
      <x:c r="J233" s="14" t="str">
        <x:v>account</x:v>
      </x:c>
      <x:c r="K233" s="16" t="str">
        <x:v>是</x:v>
      </x:c>
      <x:c r="L233" s="16" t="str">
        <x:v>否</x:v>
      </x:c>
      <x:c r="M233" s="14" t="str">
        <x:v>Config(CONFIG_KEEPER)</x:v>
      </x:c>
      <x:c r="N233" s="14" t="str">
        <x:v>沿用/见变更表</x:v>
      </x:c>
      <x:c r="O233" s="14" t="str">
        <x:v>FX100Keys.sol / Config.sol / registry-v0.3.2.json</x:v>
      </x:c>
    </x:row>
    <x:row r="234">
      <x:c r="A234" s="16" t="n">
        <x:v>233</x:v>
      </x:c>
      <x:c r="B234" s="14" t="str">
        <x:v>常量</x:v>
      </x:c>
      <x:c r="C234" s="14" t="str">
        <x:v>IS_SRC_CHAIN_ID_ENABLED</x:v>
      </x:c>
      <x:c r="D234" s="14" t="str">
        <x:v>IS_SRC_CHAIN_ID_ENABLED</x:v>
      </x:c>
      <x:c r="E234" s="14" t="str">
        <x:v>IS_SRC_CHAIN_ID_ENABLED</x:v>
      </x:c>
      <x:c r="F234" s="14" t="str">
        <x:v>⁠0x2718ce5cab7ee3f544957c929c99dc7ec31532b8fd202e801f13084ebd593378</x:v>
      </x:c>
      <x:c r="G234" s="14" t="str">
        <x:v>abiEncode</x:v>
      </x:c>
      <x:c r="H234" s="14" t="str"/>
      <x:c r="I234" s="14" t="str">
        <x:v>bool</x:v>
      </x:c>
      <x:c r="J234" s="14" t="str">
        <x:v>global/raw</x:v>
      </x:c>
      <x:c r="K234" s="16" t="str">
        <x:v>是</x:v>
      </x:c>
      <x:c r="L234" s="16" t="str">
        <x:v>否</x:v>
      </x:c>
      <x:c r="M234" s="14" t="str">
        <x:v>Config(CONFIG_KEEPER)</x:v>
      </x:c>
      <x:c r="N234" s="14" t="str">
        <x:v>沿用/见变更表</x:v>
      </x:c>
      <x:c r="O234" s="14" t="str">
        <x:v>FX100Keys.sol / Config.sol / registry-v0.3.2.json</x:v>
      </x:c>
    </x:row>
    <x:row r="235">
      <x:c r="A235" s="16" t="n">
        <x:v>234</x:v>
      </x:c>
      <x:c r="B235" s="14" t="str">
        <x:v>常量</x:v>
      </x:c>
      <x:c r="C235" s="14" t="str">
        <x:v>POSITION_LAST_SRC_CHAIN_ID</x:v>
      </x:c>
      <x:c r="D235" s="14" t="str">
        <x:v>POSITION_LAST_SRC_CHAIN_ID</x:v>
      </x:c>
      <x:c r="E235" s="14" t="str">
        <x:v>POSITION_LAST_SRC_CHAIN_ID</x:v>
      </x:c>
      <x:c r="F235" s="14" t="str">
        <x:v>⁠0x320c46139096ee40f93876a454cc8c43774f8a191b86762b71d0dd0b7c5ee18b</x:v>
      </x:c>
      <x:c r="G235" s="14" t="str">
        <x:v>abiEncode</x:v>
      </x:c>
      <x:c r="H235" s="14" t="str"/>
      <x:c r="I235" s="14" t="str"/>
      <x:c r="J235" s="14" t="str">
        <x:v>global/raw</x:v>
      </x:c>
      <x:c r="K235" s="16" t="str">
        <x:v>否</x:v>
      </x:c>
      <x:c r="L235" s="16" t="str">
        <x:v>否</x:v>
      </x:c>
      <x:c r="M235" s="14" t="str">
        <x:v>DataStore 直写(CONTROLLER)</x:v>
      </x:c>
      <x:c r="N235" s="14" t="str">
        <x:v>沿用/见变更表</x:v>
      </x:c>
      <x:c r="O235" s="14" t="str">
        <x:v>FX100Keys.sol / Config.sol / registry-v0.3.2.json</x:v>
      </x:c>
    </x:row>
    <x:row r="236">
      <x:c r="A236" s="16" t="n">
        <x:v>235</x:v>
      </x:c>
      <x:c r="B236" s="14" t="str">
        <x:v>常量</x:v>
      </x:c>
      <x:c r="C236" s="14" t="str">
        <x:v>EID_TO_SRC_CHAIN_ID</x:v>
      </x:c>
      <x:c r="D236" s="14" t="str">
        <x:v>EID_TO_SRC_CHAIN_ID</x:v>
      </x:c>
      <x:c r="E236" s="14" t="str">
        <x:v>EID_TO_SRC_CHAIN_ID</x:v>
      </x:c>
      <x:c r="F236" s="14" t="str">
        <x:v>⁠0xc629f9d0bbea9474ede6cd37121158e220384270ee6dcdfce326687871dbcaf4</x:v>
      </x:c>
      <x:c r="G236" s="14" t="str">
        <x:v>abiEncode</x:v>
      </x:c>
      <x:c r="H236" s="14" t="str"/>
      <x:c r="I236" s="14" t="str"/>
      <x:c r="J236" s="14" t="str">
        <x:v>global/raw</x:v>
      </x:c>
      <x:c r="K236" s="16" t="str">
        <x:v>是</x:v>
      </x:c>
      <x:c r="L236" s="16" t="str">
        <x:v>否</x:v>
      </x:c>
      <x:c r="M236" s="14" t="str">
        <x:v>Config(CONFIG_KEEPER)</x:v>
      </x:c>
      <x:c r="N236" s="14" t="str">
        <x:v>沿用/见变更表</x:v>
      </x:c>
      <x:c r="O236" s="14" t="str">
        <x:v>FX100Keys.sol / Config.sol / registry-v0.3.2.json</x:v>
      </x:c>
    </x:row>
    <x:row r="237">
      <x:c r="A237" s="16" t="n">
        <x:v>236</x:v>
      </x:c>
      <x:c r="B237" s="14" t="str">
        <x:v>常量</x:v>
      </x:c>
      <x:c r="C237" s="14" t="str">
        <x:v>MAX_DATA_LENGTH</x:v>
      </x:c>
      <x:c r="D237" s="14" t="str">
        <x:v>MAX_DATA_LENGTH</x:v>
      </x:c>
      <x:c r="E237" s="14" t="str">
        <x:v>MAX_DATA_LENGTH</x:v>
      </x:c>
      <x:c r="F237" s="14" t="str">
        <x:v>⁠0xefa49304bafedb997b280023ceb8fdc619a52bd764b5aff228285d898d8d1cc0</x:v>
      </x:c>
      <x:c r="G237" s="14" t="str">
        <x:v>abiEncode</x:v>
      </x:c>
      <x:c r="H237" s="14" t="str"/>
      <x:c r="I237" s="14" t="str">
        <x:v>uint</x:v>
      </x:c>
      <x:c r="J237" s="14" t="str">
        <x:v>global/raw</x:v>
      </x:c>
      <x:c r="K237" s="16" t="str">
        <x:v>是</x:v>
      </x:c>
      <x:c r="L237" s="16" t="str">
        <x:v>否</x:v>
      </x:c>
      <x:c r="M237" s="14" t="str">
        <x:v>Config(CONFIG_KEEPER)</x:v>
      </x:c>
      <x:c r="N237" s="14" t="str">
        <x:v>沿用/见变更表</x:v>
      </x:c>
      <x:c r="O237" s="14" t="str">
        <x:v>FX100Keys.sol / Config.sol / registry-v0.3.2.json</x:v>
      </x:c>
    </x:row>
    <x:row r="238">
      <x:c r="A238" s="16" t="n">
        <x:v>237</x:v>
      </x:c>
      <x:c r="B238" s="14" t="str">
        <x:v>常量</x:v>
      </x:c>
      <x:c r="C238" s="14" t="str">
        <x:v>GMX_DATA_ACTION</x:v>
      </x:c>
      <x:c r="D238" s="14" t="str">
        <x:v>GMX_DATA_ACTION</x:v>
      </x:c>
      <x:c r="E238" s="14" t="str">
        <x:v>GMX_DATA_ACTION</x:v>
      </x:c>
      <x:c r="F238" s="14" t="str">
        <x:v>⁠0x1e00e1bfa18454bf880ac17012d43b7b87f2a386d674ef67395563b8fb6c5a5e</x:v>
      </x:c>
      <x:c r="G238" s="14" t="str">
        <x:v>abiEncode</x:v>
      </x:c>
      <x:c r="H238" s="14" t="str"/>
      <x:c r="I238" s="14" t="str"/>
      <x:c r="J238" s="14" t="str">
        <x:v>global/raw</x:v>
      </x:c>
      <x:c r="K238" s="16" t="str">
        <x:v>否</x:v>
      </x:c>
      <x:c r="L238" s="16" t="str">
        <x:v>否</x:v>
      </x:c>
      <x:c r="M238" s="14" t="str">
        <x:v>DataStore 直写(CONTROLLER)</x:v>
      </x:c>
      <x:c r="N238" s="14" t="str">
        <x:v>沿用/见变更表</x:v>
      </x:c>
      <x:c r="O238" s="14" t="str">
        <x:v>FX100Keys.sol / Config.sol / registry-v0.3.2.json</x:v>
      </x:c>
    </x:row>
    <x:row r="239">
      <x:c r="A239" s="16" t="n">
        <x:v>238</x:v>
      </x:c>
      <x:c r="B239" s="14" t="str">
        <x:v>常量</x:v>
      </x:c>
      <x:c r="C239" s="14" t="str">
        <x:v>CLAIMABLE_FUNDS_AMOUNT</x:v>
      </x:c>
      <x:c r="D239" s="14" t="str">
        <x:v>CLAIMABLE_FUNDS_AMOUNT</x:v>
      </x:c>
      <x:c r="E239" s="14" t="str">
        <x:v>CLAIMABLE_FUNDS_AMOUNT</x:v>
      </x:c>
      <x:c r="F239" s="14" t="str">
        <x:v>⁠0x6a651f3cefdf0b7c2e694d991ebcf6a6337112d3aa55d6b1f9979cc947983d5f</x:v>
      </x:c>
      <x:c r="G239" s="14" t="str">
        <x:v>abiEncode</x:v>
      </x:c>
      <x:c r="H239" s="14" t="str"/>
      <x:c r="I239" s="14" t="str"/>
      <x:c r="J239" s="14" t="str">
        <x:v>global/raw</x:v>
      </x:c>
      <x:c r="K239" s="16" t="str">
        <x:v>否</x:v>
      </x:c>
      <x:c r="L239" s="16" t="str">
        <x:v>否</x:v>
      </x:c>
      <x:c r="M239" s="14" t="str">
        <x:v>DataStore 直写(CONTROLLER)</x:v>
      </x:c>
      <x:c r="N239" s="14" t="str">
        <x:v>沿用/见变更表</x:v>
      </x:c>
      <x:c r="O239" s="14" t="str">
        <x:v>FX100Keys.sol / Config.sol / registry-v0.3.2.json</x:v>
      </x:c>
    </x:row>
    <x:row r="240">
      <x:c r="A240" s="16" t="n">
        <x:v>239</x:v>
      </x:c>
      <x:c r="B240" s="14" t="str">
        <x:v>常量</x:v>
      </x:c>
      <x:c r="C240" s="14" t="str">
        <x:v>TOTAL_CLAIMABLE_FUNDS_AMOUNT</x:v>
      </x:c>
      <x:c r="D240" s="14" t="str">
        <x:v>TOTAL_CLAIMABLE_FUNDS_AMOUNT</x:v>
      </x:c>
      <x:c r="E240" s="14" t="str">
        <x:v>TOTAL_CLAIMABLE_FUNDS_AMOUNT</x:v>
      </x:c>
      <x:c r="F240" s="14" t="str">
        <x:v>⁠0x3c5306ceb0609800360e39d96cb4c69e4cf1935566b4da4782c3bfd092d27da4</x:v>
      </x:c>
      <x:c r="G240" s="14" t="str">
        <x:v>abiEncode</x:v>
      </x:c>
      <x:c r="H240" s="14" t="str"/>
      <x:c r="I240" s="14" t="str"/>
      <x:c r="J240" s="14" t="str">
        <x:v>global/raw</x:v>
      </x:c>
      <x:c r="K240" s="16" t="str">
        <x:v>否</x:v>
      </x:c>
      <x:c r="L240" s="16" t="str">
        <x:v>否</x:v>
      </x:c>
      <x:c r="M240" s="14" t="str">
        <x:v>DataStore 直写(CONTROLLER)</x:v>
      </x:c>
      <x:c r="N240" s="14" t="str">
        <x:v>沿用/见变更表</x:v>
      </x:c>
      <x:c r="O240" s="14" t="str">
        <x:v>FX100Keys.sol / Config.sol / registry-v0.3.2.json</x:v>
      </x:c>
    </x:row>
    <x:row r="241">
      <x:c r="A241" s="16" t="n">
        <x:v>240</x:v>
      </x:c>
      <x:c r="B241" s="14" t="str">
        <x:v>常量</x:v>
      </x:c>
      <x:c r="C241" s="14" t="str">
        <x:v>CLAIM_TERMS</x:v>
      </x:c>
      <x:c r="D241" s="14" t="str">
        <x:v>CLAIM_TERMS</x:v>
      </x:c>
      <x:c r="E241" s="14" t="str">
        <x:v>CLAIM_TERMS</x:v>
      </x:c>
      <x:c r="F241" s="14" t="str">
        <x:v>⁠0x4f361fcb5ebf8c34932080096371b32b45a9fa47dd801664e09bf8f94416b550</x:v>
      </x:c>
      <x:c r="G241" s="14" t="str">
        <x:v>abiEncode</x:v>
      </x:c>
      <x:c r="H241" s="14" t="str"/>
      <x:c r="I241" s="14" t="str"/>
      <x:c r="J241" s="14" t="str">
        <x:v>global/raw</x:v>
      </x:c>
      <x:c r="K241" s="16" t="str">
        <x:v>否</x:v>
      </x:c>
      <x:c r="L241" s="16" t="str">
        <x:v>否</x:v>
      </x:c>
      <x:c r="M241" s="14" t="str">
        <x:v>DataStore 直写(CONTROLLER)</x:v>
      </x:c>
      <x:c r="N241" s="14" t="str">
        <x:v>沿用/见变更表</x:v>
      </x:c>
      <x:c r="O241" s="14" t="str">
        <x:v>FX100Keys.sol / Config.sol / registry-v0.3.2.json</x:v>
      </x:c>
    </x:row>
    <x:row r="242">
      <x:c r="A242" s="16" t="n">
        <x:v>241</x:v>
      </x:c>
      <x:c r="B242" s="14" t="str">
        <x:v>常量</x:v>
      </x:c>
      <x:c r="C242" s="14" t="str">
        <x:v>CLAIM_TERMS_BACKREF</x:v>
      </x:c>
      <x:c r="D242" s="14" t="str">
        <x:v>CLAIM_TERMS_BACKREF</x:v>
      </x:c>
      <x:c r="E242" s="14" t="str">
        <x:v>CLAIM_TERMS_BACKREF</x:v>
      </x:c>
      <x:c r="F242" s="14" t="str">
        <x:v>⁠0x86938ba482f6d2d61c037c0c7ce538834ed1accd5c8fd892819a8673dd27b36f</x:v>
      </x:c>
      <x:c r="G242" s="14" t="str">
        <x:v>abiEncode</x:v>
      </x:c>
      <x:c r="H242" s="14" t="str"/>
      <x:c r="I242" s="14" t="str"/>
      <x:c r="J242" s="14" t="str">
        <x:v>global/raw</x:v>
      </x:c>
      <x:c r="K242" s="16" t="str">
        <x:v>否</x:v>
      </x:c>
      <x:c r="L242" s="16" t="str">
        <x:v>否</x:v>
      </x:c>
      <x:c r="M242" s="14" t="str">
        <x:v>DataStore 直写(CONTROLLER)</x:v>
      </x:c>
      <x:c r="N242" s="14" t="str">
        <x:v>沿用/见变更表</x:v>
      </x:c>
      <x:c r="O242" s="14" t="str">
        <x:v>FX100Keys.sol / Config.sol / registry-v0.3.2.json</x:v>
      </x:c>
    </x:row>
    <x:row r="243">
      <x:c r="A243" s="16" t="n">
        <x:v>242</x:v>
      </x:c>
      <x:c r="B243" s="14" t="str">
        <x:v>常量</x:v>
      </x:c>
      <x:c r="C243" s="14" t="str">
        <x:v>POSITION_LIST</x:v>
      </x:c>
      <x:c r="D243" s="14" t="str">
        <x:v>POSITION_LIST</x:v>
      </x:c>
      <x:c r="E243" s="14" t="str">
        <x:v>POSITION_LIST</x:v>
      </x:c>
      <x:c r="F243" s="14" t="str">
        <x:v>⁠0x3fe95e2be5587b71e685e297dc351a27f09a363e7d84b38bb75158a8f06590ac</x:v>
      </x:c>
      <x:c r="G243" s="14" t="str">
        <x:v>abiEncode</x:v>
      </x:c>
      <x:c r="H243" s="14" t="str"/>
      <x:c r="I243" s="14" t="str">
        <x:v>bytes32</x:v>
      </x:c>
      <x:c r="J243" s="14" t="str">
        <x:v>global/raw</x:v>
      </x:c>
      <x:c r="K243" s="16" t="str">
        <x:v>否</x:v>
      </x:c>
      <x:c r="L243" s="16" t="str">
        <x:v>否</x:v>
      </x:c>
      <x:c r="M243" s="14" t="str">
        <x:v>DataStore 直写(CONTROLLER)</x:v>
      </x:c>
      <x:c r="N243" s="14" t="str">
        <x:v>沿用/见变更表</x:v>
      </x:c>
      <x:c r="O243" s="14" t="str">
        <x:v>FX100Keys.sol / Config.sol / registry-v0.3.2.json</x:v>
      </x:c>
    </x:row>
    <x:row r="244">
      <x:c r="A244" s="16" t="n">
        <x:v>243</x:v>
      </x:c>
      <x:c r="B244" s="14" t="str">
        <x:v>常量</x:v>
      </x:c>
      <x:c r="C244" s="14" t="str">
        <x:v>ACCOUNT_POSITION_LIST</x:v>
      </x:c>
      <x:c r="D244" s="14" t="str">
        <x:v>ACCOUNT_POSITION_LIST</x:v>
      </x:c>
      <x:c r="E244" s="14" t="str">
        <x:v>ACCOUNT_POSITION_LIST</x:v>
      </x:c>
      <x:c r="F244" s="14" t="str">
        <x:v>⁠0xa94015725b1182c6666b50aed1bb84d2b2cf9da39e6f5a5b19cd01f2f37738a1</x:v>
      </x:c>
      <x:c r="G244" s="14" t="str">
        <x:v>abiEncode</x:v>
      </x:c>
      <x:c r="H244" s="14" t="str"/>
      <x:c r="I244" s="14" t="str">
        <x:v>bytes32</x:v>
      </x:c>
      <x:c r="J244" s="14" t="str">
        <x:v>account</x:v>
      </x:c>
      <x:c r="K244" s="16" t="str">
        <x:v>否</x:v>
      </x:c>
      <x:c r="L244" s="16" t="str">
        <x:v>否</x:v>
      </x:c>
      <x:c r="M244" s="14" t="str">
        <x:v>DataStore 直写(CONTROLLER)</x:v>
      </x:c>
      <x:c r="N244" s="14" t="str">
        <x:v>沿用/见变更表</x:v>
      </x:c>
      <x:c r="O244" s="14" t="str">
        <x:v>FX100Keys.sol / Config.sol / registry-v0.3.2.json</x:v>
      </x:c>
    </x:row>
    <x:row r="245">
      <x:c r="A245" s="16" t="n">
        <x:v>244</x:v>
      </x:c>
      <x:c r="B245" s="14" t="str">
        <x:v>常量</x:v>
      </x:c>
      <x:c r="C245" s="14" t="str">
        <x:v>ORDER_LIST</x:v>
      </x:c>
      <x:c r="D245" s="14" t="str">
        <x:v>ORDER_LIST</x:v>
      </x:c>
      <x:c r="E245" s="14" t="str">
        <x:v>ORDER_LIST</x:v>
      </x:c>
      <x:c r="F245" s="14" t="str">
        <x:v>⁠0x86f7cfd5d8f8404e5145c91bebb8484657420159dabd0753d6a59f3de3f7b8c1</x:v>
      </x:c>
      <x:c r="G245" s="14" t="str">
        <x:v>abiEncode</x:v>
      </x:c>
      <x:c r="H245" s="14" t="str"/>
      <x:c r="I245" s="14" t="str">
        <x:v>bytes32</x:v>
      </x:c>
      <x:c r="J245" s="14" t="str">
        <x:v>global/raw</x:v>
      </x:c>
      <x:c r="K245" s="16" t="str">
        <x:v>否</x:v>
      </x:c>
      <x:c r="L245" s="16" t="str">
        <x:v>否</x:v>
      </x:c>
      <x:c r="M245" s="14" t="str">
        <x:v>DataStore 直写(CONTROLLER)</x:v>
      </x:c>
      <x:c r="N245" s="14" t="str">
        <x:v>沿用/见变更表</x:v>
      </x:c>
      <x:c r="O245" s="14" t="str">
        <x:v>FX100Keys.sol / Config.sol / registry-v0.3.2.json</x:v>
      </x:c>
    </x:row>
    <x:row r="246">
      <x:c r="A246" s="16" t="n">
        <x:v>245</x:v>
      </x:c>
      <x:c r="B246" s="14" t="str">
        <x:v>常量</x:v>
      </x:c>
      <x:c r="C246" s="14" t="str">
        <x:v>ACCOUNT_ORDER_LIST</x:v>
      </x:c>
      <x:c r="D246" s="14" t="str">
        <x:v>ACCOUNT_ORDER_LIST</x:v>
      </x:c>
      <x:c r="E246" s="14" t="str">
        <x:v>ACCOUNT_ORDER_LIST</x:v>
      </x:c>
      <x:c r="F246" s="14" t="str">
        <x:v>⁠0xd008ab8798caa94b11c12ebc5bce5104c343552f5375d1bf3870b4b4a6e8d562</x:v>
      </x:c>
      <x:c r="G246" s="14" t="str">
        <x:v>abiEncode</x:v>
      </x:c>
      <x:c r="H246" s="14" t="str"/>
      <x:c r="I246" s="14" t="str">
        <x:v>bytes32</x:v>
      </x:c>
      <x:c r="J246" s="14" t="str">
        <x:v>account</x:v>
      </x:c>
      <x:c r="K246" s="16" t="str">
        <x:v>否</x:v>
      </x:c>
      <x:c r="L246" s="16" t="str">
        <x:v>否</x:v>
      </x:c>
      <x:c r="M246" s="14" t="str">
        <x:v>DataStore 直写(CONTROLLER)</x:v>
      </x:c>
      <x:c r="N246" s="14" t="str">
        <x:v>沿用/见变更表</x:v>
      </x:c>
      <x:c r="O246" s="14" t="str">
        <x:v>FX100Keys.sol / Config.sol / registry-v0.3.2.json</x:v>
      </x:c>
    </x:row>
    <x:row r="247">
      <x:c r="A247" s="16" t="n">
        <x:v>246</x:v>
      </x:c>
      <x:c r="B247" s="14" t="str">
        <x:v>派生 Key</x:v>
      </x:c>
      <x:c r="C247" s="14" t="str">
        <x:v>accountPositionListKey</x:v>
      </x:c>
      <x:c r="D247" s="14" t="str">
        <x:v>ACCOUNT_POSITION_LIST</x:v>
      </x:c>
      <x:c r="E247" s="14" t="str">
        <x:v>ACCOUNT_POSITION_LIST</x:v>
      </x:c>
      <x:c r="F247" s="14" t="str"/>
      <x:c r="G247" s="14" t="str">
        <x:v>_efficientHash(BASE, arg)</x:v>
      </x:c>
      <x:c r="H247" s="14" t="str">
        <x:v>address account [account]</x:v>
      </x:c>
      <x:c r="I247" s="14" t="str">
        <x:v>bytes32</x:v>
      </x:c>
      <x:c r="J247" s="14" t="str">
        <x:v>account</x:v>
      </x:c>
      <x:c r="K247" s="16" t="str">
        <x:v>否</x:v>
      </x:c>
      <x:c r="L247" s="16" t="str">
        <x:v>否</x:v>
      </x:c>
      <x:c r="M247" s="14" t="str">
        <x:v>DataStore 直写(CONTROLLER)</x:v>
      </x:c>
      <x:c r="N247" s="14" t="str">
        <x:v>沿用/见变更表</x:v>
      </x:c>
      <x:c r="O247" s="14" t="str">
        <x:v>FX100Keys.sol / Config.sol / registry-v0.3.2.json</x:v>
      </x:c>
    </x:row>
    <x:row r="248">
      <x:c r="A248" s="16" t="n">
        <x:v>247</x:v>
      </x:c>
      <x:c r="B248" s="14" t="str">
        <x:v>派生 Key</x:v>
      </x:c>
      <x:c r="C248" s="14" t="str">
        <x:v>accountOrderListKey</x:v>
      </x:c>
      <x:c r="D248" s="14" t="str">
        <x:v>ACCOUNT_ORDER_LIST</x:v>
      </x:c>
      <x:c r="E248" s="14" t="str">
        <x:v>ACCOUNT_ORDER_LIST</x:v>
      </x:c>
      <x:c r="F248" s="14" t="str"/>
      <x:c r="G248" s="14" t="str">
        <x:v>_efficientHash(BASE, arg)</x:v>
      </x:c>
      <x:c r="H248" s="14" t="str">
        <x:v>address account [account]</x:v>
      </x:c>
      <x:c r="I248" s="14" t="str">
        <x:v>bytes32</x:v>
      </x:c>
      <x:c r="J248" s="14" t="str">
        <x:v>account</x:v>
      </x:c>
      <x:c r="K248" s="16" t="str">
        <x:v>否</x:v>
      </x:c>
      <x:c r="L248" s="16" t="str">
        <x:v>否</x:v>
      </x:c>
      <x:c r="M248" s="14" t="str">
        <x:v>DataStore 直写(CONTROLLER)</x:v>
      </x:c>
      <x:c r="N248" s="14" t="str">
        <x:v>沿用/见变更表</x:v>
      </x:c>
      <x:c r="O248" s="14" t="str">
        <x:v>FX100Keys.sol / Config.sol / registry-v0.3.2.json</x:v>
      </x:c>
    </x:row>
    <x:row r="249">
      <x:c r="A249" s="16" t="n">
        <x:v>248</x:v>
      </x:c>
      <x:c r="B249" s="14" t="str">
        <x:v>派生 Key</x:v>
      </x:c>
      <x:c r="C249" s="14" t="str">
        <x:v>positionImpactExponentFactorKey</x:v>
      </x:c>
      <x:c r="D249" s="14" t="str">
        <x:v>POSITION_IMPACT_EXPONENT_FACTOR</x:v>
      </x:c>
      <x:c r="E249" s="14" t="str">
        <x:v>POSITION_IMPACT_EXPONENT_FACTOR</x:v>
      </x:c>
      <x:c r="F249" s="14" t="str"/>
      <x:c r="G249" s="14" t="str">
        <x:v>keccak256(abi.encode(BASE,...args))</x:v>
      </x:c>
      <x:c r="H249" s="14" t="str">
        <x:v>uint256 marketIndex [market], bool isPositive [bool]</x:v>
      </x:c>
      <x:c r="I249" s="14" t="str"/>
      <x:c r="J249" s="14" t="str">
        <x:v>market + bool</x:v>
      </x:c>
      <x:c r="K249" s="16" t="str">
        <x:v>是</x:v>
      </x:c>
      <x:c r="L249" s="16" t="str">
        <x:v>否</x:v>
      </x:c>
      <x:c r="M249" s="14" t="str">
        <x:v>Config(CONFIG_KEEPER)</x:v>
      </x:c>
      <x:c r="N249" s="14" t="str">
        <x:v>沿用/见变更表</x:v>
      </x:c>
      <x:c r="O249" s="14" t="str">
        <x:v>FX100Keys.sol / Config.sol / registry-v0.3.2.json</x:v>
      </x:c>
    </x:row>
    <x:row r="250">
      <x:c r="A250" s="16" t="n">
        <x:v>249</x:v>
      </x:c>
      <x:c r="B250" s="14" t="str">
        <x:v>派生 Key</x:v>
      </x:c>
      <x:c r="C250" s="14" t="str">
        <x:v>constantPriceSpreadKey</x:v>
      </x:c>
      <x:c r="D250" s="14" t="str">
        <x:v>CONSTANT_PRICE_SPREAD</x:v>
      </x:c>
      <x:c r="E250" s="14" t="str">
        <x:v>CONSTANT_PRICE_SPREAD</x:v>
      </x:c>
      <x:c r="F250" s="14" t="str"/>
      <x:c r="G250" s="14" t="str">
        <x:v>keccak256(abi.encode(BASE,...args))</x:v>
      </x:c>
      <x:c r="H250" s="14" t="str">
        <x:v>uint256 marketIndex [market]</x:v>
      </x:c>
      <x:c r="I250" s="14" t="str">
        <x:v>uint</x:v>
      </x:c>
      <x:c r="J250" s="14" t="str">
        <x:v>market</x:v>
      </x:c>
      <x:c r="K250" s="16" t="str">
        <x:v>否</x:v>
      </x:c>
      <x:c r="L250" s="16" t="str">
        <x:v>否</x:v>
      </x:c>
      <x:c r="M250" s="14" t="str">
        <x:v>DataStore 直写(CONTROLLER)</x:v>
      </x:c>
      <x:c r="N250" s="14" t="str">
        <x:v>沿用/见变更表</x:v>
      </x:c>
      <x:c r="O250" s="14" t="str">
        <x:v>FX100Keys.sol / Config.sol / registry-v0.3.2.json</x:v>
      </x:c>
    </x:row>
    <x:row r="251">
      <x:c r="A251" s="16" t="n">
        <x:v>250</x:v>
      </x:c>
      <x:c r="B251" s="14" t="str">
        <x:v>派生 Key</x:v>
      </x:c>
      <x:c r="C251" s="14" t="str">
        <x:v>minDynamicSpreadKey</x:v>
      </x:c>
      <x:c r="D251" s="14" t="str">
        <x:v>MIN_DYNAMIC_SPREAD</x:v>
      </x:c>
      <x:c r="E251" s="14" t="str">
        <x:v>MIN_DYNAMIC_SPREAD</x:v>
      </x:c>
      <x:c r="F251" s="14" t="str"/>
      <x:c r="G251" s="14" t="str">
        <x:v>keccak256(abi.encode(BASE,...args))</x:v>
      </x:c>
      <x:c r="H251" s="14" t="str">
        <x:v>uint256 marketIndex [market], bool isLong [bool]</x:v>
      </x:c>
      <x:c r="I251" s="14" t="str">
        <x:v>int</x:v>
      </x:c>
      <x:c r="J251" s="14" t="str">
        <x:v>market + bool</x:v>
      </x:c>
      <x:c r="K251" s="16" t="str">
        <x:v>是</x:v>
      </x:c>
      <x:c r="L251" s="16" t="str">
        <x:v>否</x:v>
      </x:c>
      <x:c r="M251" s="14" t="str">
        <x:v>Config(CONFIG_KEEPER)</x:v>
      </x:c>
      <x:c r="N251" s="14" t="str">
        <x:v>v0.3.2 新增</x:v>
      </x:c>
      <x:c r="O251" s="14" t="str">
        <x:v>FX100Keys.sol / Config.sol / registry-v0.3.2.json</x:v>
      </x:c>
    </x:row>
    <x:row r="252">
      <x:c r="A252" s="16" t="n">
        <x:v>251</x:v>
      </x:c>
      <x:c r="B252" s="14" t="str">
        <x:v>派生 Key</x:v>
      </x:c>
      <x:c r="C252" s="14" t="str">
        <x:v>maxDynamicSpreadKey</x:v>
      </x:c>
      <x:c r="D252" s="14" t="str">
        <x:v>MAX_DYNAMIC_SPREAD</x:v>
      </x:c>
      <x:c r="E252" s="14" t="str">
        <x:v>MAX_DYNAMIC_SPREAD</x:v>
      </x:c>
      <x:c r="F252" s="14" t="str"/>
      <x:c r="G252" s="14" t="str">
        <x:v>keccak256(abi.encode(BASE,...args))</x:v>
      </x:c>
      <x:c r="H252" s="14" t="str">
        <x:v>uint256 marketIndex [market], bool isLong [bool]</x:v>
      </x:c>
      <x:c r="I252" s="14" t="str">
        <x:v>int</x:v>
      </x:c>
      <x:c r="J252" s="14" t="str">
        <x:v>market + bool</x:v>
      </x:c>
      <x:c r="K252" s="16" t="str">
        <x:v>是</x:v>
      </x:c>
      <x:c r="L252" s="16" t="str">
        <x:v>否</x:v>
      </x:c>
      <x:c r="M252" s="14" t="str">
        <x:v>Config(CONFIG_KEEPER)</x:v>
      </x:c>
      <x:c r="N252" s="14" t="str">
        <x:v>v0.3.2 新增</x:v>
      </x:c>
      <x:c r="O252" s="14" t="str">
        <x:v>FX100Keys.sol / Config.sol / registry-v0.3.2.json</x:v>
      </x:c>
    </x:row>
    <x:row r="253">
      <x:c r="A253" s="16" t="n">
        <x:v>252</x:v>
      </x:c>
      <x:c r="B253" s="14" t="str">
        <x:v>派生 Key</x:v>
      </x:c>
      <x:c r="C253" s="14" t="str">
        <x:v>bidOrderBookDepthKey</x:v>
      </x:c>
      <x:c r="D253" s="14" t="str">
        <x:v>BID_ORDER_BOOK_DEPTH</x:v>
      </x:c>
      <x:c r="E253" s="14" t="str">
        <x:v>BID_ORDER_BOOK_DEPTH</x:v>
      </x:c>
      <x:c r="F253" s="14" t="str"/>
      <x:c r="G253" s="14" t="str">
        <x:v>keccak256(abi.encode(BASE,...args))</x:v>
      </x:c>
      <x:c r="H253" s="14" t="str">
        <x:v>uint256 marketIndex [market]</x:v>
      </x:c>
      <x:c r="I253" s="14" t="str">
        <x:v>uint</x:v>
      </x:c>
      <x:c r="J253" s="14" t="str">
        <x:v>market</x:v>
      </x:c>
      <x:c r="K253" s="16" t="str">
        <x:v>否</x:v>
      </x:c>
      <x:c r="L253" s="16" t="str">
        <x:v>否</x:v>
      </x:c>
      <x:c r="M253" s="14" t="str">
        <x:v>DataStore 直写(CONTROLLER)</x:v>
      </x:c>
      <x:c r="N253" s="14" t="str">
        <x:v>沿用/见变更表</x:v>
      </x:c>
      <x:c r="O253" s="14" t="str">
        <x:v>FX100Keys.sol / Config.sol / registry-v0.3.2.json</x:v>
      </x:c>
    </x:row>
    <x:row r="254">
      <x:c r="A254" s="16" t="n">
        <x:v>253</x:v>
      </x:c>
      <x:c r="B254" s="14" t="str">
        <x:v>派生 Key</x:v>
      </x:c>
      <x:c r="C254" s="14" t="str">
        <x:v>askOrderBookDepthKey</x:v>
      </x:c>
      <x:c r="D254" s="14" t="str">
        <x:v>ASK_ORDER_BOOK_DEPTH</x:v>
      </x:c>
      <x:c r="E254" s="14" t="str">
        <x:v>ASK_ORDER_BOOK_DEPTH</x:v>
      </x:c>
      <x:c r="F254" s="14" t="str"/>
      <x:c r="G254" s="14" t="str">
        <x:v>keccak256(abi.encode(BASE,...args))</x:v>
      </x:c>
      <x:c r="H254" s="14" t="str">
        <x:v>uint256 marketIndex [market]</x:v>
      </x:c>
      <x:c r="I254" s="14" t="str">
        <x:v>uint</x:v>
      </x:c>
      <x:c r="J254" s="14" t="str">
        <x:v>market</x:v>
      </x:c>
      <x:c r="K254" s="16" t="str">
        <x:v>否</x:v>
      </x:c>
      <x:c r="L254" s="16" t="str">
        <x:v>否</x:v>
      </x:c>
      <x:c r="M254" s="14" t="str">
        <x:v>DataStore 直写(CONTROLLER)</x:v>
      </x:c>
      <x:c r="N254" s="14" t="str">
        <x:v>沿用/见变更表</x:v>
      </x:c>
      <x:c r="O254" s="14" t="str">
        <x:v>FX100Keys.sol / Config.sol / registry-v0.3.2.json</x:v>
      </x:c>
    </x:row>
    <x:row r="255">
      <x:c r="A255" s="16" t="n">
        <x:v>254</x:v>
      </x:c>
      <x:c r="B255" s="14" t="str">
        <x:v>派生 Key</x:v>
      </x:c>
      <x:c r="C255" s="14" t="str">
        <x:v>priceImpactParameterKey</x:v>
      </x:c>
      <x:c r="D255" s="14" t="str">
        <x:v>PRICE_IMPACT_PARAMETER</x:v>
      </x:c>
      <x:c r="E255" s="14" t="str">
        <x:v>PRICE_IMPACT_PARAMETER</x:v>
      </x:c>
      <x:c r="F255" s="14" t="str"/>
      <x:c r="G255" s="14" t="str">
        <x:v>keccak256(abi.encode(BASE,...args))</x:v>
      </x:c>
      <x:c r="H255" s="14" t="str">
        <x:v>uint256 marketIndex [market]</x:v>
      </x:c>
      <x:c r="I255" s="14" t="str">
        <x:v>uint</x:v>
      </x:c>
      <x:c r="J255" s="14" t="str">
        <x:v>market</x:v>
      </x:c>
      <x:c r="K255" s="16" t="str">
        <x:v>否</x:v>
      </x:c>
      <x:c r="L255" s="16" t="str">
        <x:v>否</x:v>
      </x:c>
      <x:c r="M255" s="14" t="str">
        <x:v>DataStore 直写(CONTROLLER)</x:v>
      </x:c>
      <x:c r="N255" s="14" t="str">
        <x:v>沿用/见变更表</x:v>
      </x:c>
      <x:c r="O255" s="14" t="str">
        <x:v>FX100Keys.sol / Config.sol / registry-v0.3.2.json</x:v>
      </x:c>
    </x:row>
    <x:row r="256">
      <x:c r="A256" s="16" t="n">
        <x:v>255</x:v>
      </x:c>
      <x:c r="B256" s="14" t="str">
        <x:v>派生 Key</x:v>
      </x:c>
      <x:c r="C256" s="14" t="str">
        <x:v>skewImpactFactorKey</x:v>
      </x:c>
      <x:c r="D256" s="14" t="str">
        <x:v>SKEW_IMPACT_FACTOR</x:v>
      </x:c>
      <x:c r="E256" s="14" t="str">
        <x:v>SKEW_IMPACT_FACTOR</x:v>
      </x:c>
      <x:c r="F256" s="14" t="str"/>
      <x:c r="G256" s="14" t="str">
        <x:v>keccak256(abi.encode(BASE,...args))</x:v>
      </x:c>
      <x:c r="H256" s="14" t="str">
        <x:v>uint256 marketIndex [market]</x:v>
      </x:c>
      <x:c r="I256" s="14" t="str">
        <x:v>int</x:v>
      </x:c>
      <x:c r="J256" s="14" t="str">
        <x:v>market</x:v>
      </x:c>
      <x:c r="K256" s="16" t="str">
        <x:v>是</x:v>
      </x:c>
      <x:c r="L256" s="16" t="str">
        <x:v>否</x:v>
      </x:c>
      <x:c r="M256" s="14" t="str">
        <x:v>Config(CONFIG_KEEPER)</x:v>
      </x:c>
      <x:c r="N256" s="14" t="str">
        <x:v>沿用/见变更表</x:v>
      </x:c>
      <x:c r="O256" s="14" t="str">
        <x:v>FX100Keys.sol / Config.sol / registry-v0.3.2.json</x:v>
      </x:c>
    </x:row>
    <x:row r="257">
      <x:c r="A257" s="16" t="n">
        <x:v>256</x:v>
      </x:c>
      <x:c r="B257" s="14" t="str">
        <x:v>派生 Key</x:v>
      </x:c>
      <x:c r="C257" s="14" t="str">
        <x:v>minSkewImpactKey</x:v>
      </x:c>
      <x:c r="D257" s="14" t="str">
        <x:v>MIN_SKEW_IMPACT</x:v>
      </x:c>
      <x:c r="E257" s="14" t="str">
        <x:v>MIN_SKEW_IMPACT</x:v>
      </x:c>
      <x:c r="F257" s="14" t="str"/>
      <x:c r="G257" s="14" t="str">
        <x:v>keccak256(abi.encode(BASE,...args))</x:v>
      </x:c>
      <x:c r="H257" s="14" t="str">
        <x:v>uint256 marketIndex [market]</x:v>
      </x:c>
      <x:c r="I257" s="14" t="str">
        <x:v>int</x:v>
      </x:c>
      <x:c r="J257" s="14" t="str">
        <x:v>market</x:v>
      </x:c>
      <x:c r="K257" s="16" t="str">
        <x:v>是</x:v>
      </x:c>
      <x:c r="L257" s="16" t="str">
        <x:v>否</x:v>
      </x:c>
      <x:c r="M257" s="14" t="str">
        <x:v>Config(CONFIG_KEEPER)</x:v>
      </x:c>
      <x:c r="N257" s="14" t="str">
        <x:v>沿用/见变更表</x:v>
      </x:c>
      <x:c r="O257" s="14" t="str">
        <x:v>FX100Keys.sol / Config.sol / registry-v0.3.2.json</x:v>
      </x:c>
    </x:row>
    <x:row r="258">
      <x:c r="A258" s="16" t="n">
        <x:v>257</x:v>
      </x:c>
      <x:c r="B258" s="14" t="str">
        <x:v>派生 Key</x:v>
      </x:c>
      <x:c r="C258" s="14" t="str">
        <x:v>maxSkewImpactKey</x:v>
      </x:c>
      <x:c r="D258" s="14" t="str">
        <x:v>MAX_SKEW_IMPACT</x:v>
      </x:c>
      <x:c r="E258" s="14" t="str">
        <x:v>MAX_SKEW_IMPACT</x:v>
      </x:c>
      <x:c r="F258" s="14" t="str"/>
      <x:c r="G258" s="14" t="str">
        <x:v>keccak256(abi.encode(BASE,...args))</x:v>
      </x:c>
      <x:c r="H258" s="14" t="str">
        <x:v>uint256 marketIndex [market]</x:v>
      </x:c>
      <x:c r="I258" s="14" t="str">
        <x:v>int</x:v>
      </x:c>
      <x:c r="J258" s="14" t="str">
        <x:v>market</x:v>
      </x:c>
      <x:c r="K258" s="16" t="str">
        <x:v>是</x:v>
      </x:c>
      <x:c r="L258" s="16" t="str">
        <x:v>否</x:v>
      </x:c>
      <x:c r="M258" s="14" t="str">
        <x:v>Config(CONFIG_KEEPER)</x:v>
      </x:c>
      <x:c r="N258" s="14" t="str">
        <x:v>沿用/见变更表</x:v>
      </x:c>
      <x:c r="O258" s="14" t="str">
        <x:v>FX100Keys.sol / Config.sol / registry-v0.3.2.json</x:v>
      </x:c>
    </x:row>
    <x:row r="259">
      <x:c r="A259" s="16" t="n">
        <x:v>258</x:v>
      </x:c>
      <x:c r="B259" s="14" t="str">
        <x:v>派生 Key</x:v>
      </x:c>
      <x:c r="C259" s="14" t="str">
        <x:v>cumulativeOpenCostsKey</x:v>
      </x:c>
      <x:c r="D259" s="14" t="str">
        <x:v>CUMULATIVE_OPEN_COSTS</x:v>
      </x:c>
      <x:c r="E259" s="14" t="str">
        <x:v>CUMULATIVE_OPEN_COSTS</x:v>
      </x:c>
      <x:c r="F259" s="14" t="str"/>
      <x:c r="G259" s="14" t="str">
        <x:v>keccak256(abi.encode(BASE,...args))</x:v>
      </x:c>
      <x:c r="H259" s="14" t="str">
        <x:v>uint256 marketIndex [market], bool isLong [bool]</x:v>
      </x:c>
      <x:c r="I259" s="14" t="str">
        <x:v>uint</x:v>
      </x:c>
      <x:c r="J259" s="14" t="str">
        <x:v>market + bool</x:v>
      </x:c>
      <x:c r="K259" s="16" t="str">
        <x:v>否</x:v>
      </x:c>
      <x:c r="L259" s="16" t="str">
        <x:v>否</x:v>
      </x:c>
      <x:c r="M259" s="14" t="str">
        <x:v>DataStore 直写(CONTROLLER)</x:v>
      </x:c>
      <x:c r="N259" s="14" t="str">
        <x:v>沿用/见变更表</x:v>
      </x:c>
      <x:c r="O259" s="14" t="str">
        <x:v>FX100Keys.sol / Config.sol / registry-v0.3.2.json</x:v>
      </x:c>
    </x:row>
    <x:row r="260">
      <x:c r="A260" s="16" t="n">
        <x:v>259</x:v>
      </x:c>
      <x:c r="B260" s="14" t="str">
        <x:v>派生 Key</x:v>
      </x:c>
      <x:c r="C260" s="14" t="str">
        <x:v>openInterestInTokensKey</x:v>
      </x:c>
      <x:c r="D260" s="14" t="str">
        <x:v>OPEN_INTEREST_IN_TOKENS</x:v>
      </x:c>
      <x:c r="E260" s="14" t="str">
        <x:v>OPEN_INTEREST_IN_TOKENS</x:v>
      </x:c>
      <x:c r="F260" s="14" t="str"/>
      <x:c r="G260" s="14" t="str">
        <x:v>keccak256(abi.encode(BASE,...args))</x:v>
      </x:c>
      <x:c r="H260" s="14" t="str">
        <x:v>uint256 marketIndex [market], bool isLong [bool]</x:v>
      </x:c>
      <x:c r="I260" s="14" t="str">
        <x:v>uint</x:v>
      </x:c>
      <x:c r="J260" s="14" t="str">
        <x:v>market + bool</x:v>
      </x:c>
      <x:c r="K260" s="16" t="str">
        <x:v>否</x:v>
      </x:c>
      <x:c r="L260" s="16" t="str">
        <x:v>否</x:v>
      </x:c>
      <x:c r="M260" s="14" t="str">
        <x:v>DataStore 直写(CONTROLLER)</x:v>
      </x:c>
      <x:c r="N260" s="14" t="str">
        <x:v>沿用/见变更表</x:v>
      </x:c>
      <x:c r="O260" s="14" t="str">
        <x:v>FX100Keys.sol / Config.sol / registry-v0.3.2.json</x:v>
      </x:c>
    </x:row>
    <x:row r="261">
      <x:c r="A261" s="16" t="n">
        <x:v>260</x:v>
      </x:c>
      <x:c r="B261" s="14" t="str">
        <x:v>派生 Key</x:v>
      </x:c>
      <x:c r="C261" s="14" t="str">
        <x:v>poolAmountKey</x:v>
      </x:c>
      <x:c r="D261" s="14" t="str">
        <x:v>POOL_AMOUNT</x:v>
      </x:c>
      <x:c r="E261" s="14" t="str">
        <x:v>POOL_AMOUNT</x:v>
      </x:c>
      <x:c r="F261" s="14" t="str"/>
      <x:c r="G261" s="14" t="str">
        <x:v>keccak256(abi.encode(BASE,...args))</x:v>
      </x:c>
      <x:c r="H261" s="14" t="str">
        <x:v>uint256 marketIndex [market], address token [token]</x:v>
      </x:c>
      <x:c r="I261" s="14" t="str"/>
      <x:c r="J261" s="14" t="str">
        <x:v>market + token</x:v>
      </x:c>
      <x:c r="K261" s="16" t="str">
        <x:v>否</x:v>
      </x:c>
      <x:c r="L261" s="16" t="str">
        <x:v>否</x:v>
      </x:c>
      <x:c r="M261" s="14" t="str">
        <x:v>DataStore 直写(CONTROLLER)</x:v>
      </x:c>
      <x:c r="N261" s="14" t="str">
        <x:v>沿用/见变更表</x:v>
      </x:c>
      <x:c r="O261" s="14" t="str">
        <x:v>FX100Keys.sol / Config.sol / registry-v0.3.2.json</x:v>
      </x:c>
    </x:row>
    <x:row r="262">
      <x:c r="A262" s="16" t="n">
        <x:v>261</x:v>
      </x:c>
      <x:c r="B262" s="14" t="str">
        <x:v>派生 Key</x:v>
      </x:c>
      <x:c r="C262" s="14" t="str">
        <x:v>maxPoolAmountKey</x:v>
      </x:c>
      <x:c r="D262" s="14" t="str">
        <x:v>MAX_POOL_AMOUNT</x:v>
      </x:c>
      <x:c r="E262" s="14" t="str">
        <x:v>MAX_POOL_AMOUNT</x:v>
      </x:c>
      <x:c r="F262" s="14" t="str"/>
      <x:c r="G262" s="14" t="str">
        <x:v>keccak256(abi.encode(BASE,...args))</x:v>
      </x:c>
      <x:c r="H262" s="14" t="str">
        <x:v>uint256 marketIndex [market], address token [token]</x:v>
      </x:c>
      <x:c r="I262" s="14" t="str"/>
      <x:c r="J262" s="14" t="str">
        <x:v>market + token</x:v>
      </x:c>
      <x:c r="K262" s="16" t="str">
        <x:v>是</x:v>
      </x:c>
      <x:c r="L262" s="16" t="str">
        <x:v>是</x:v>
      </x:c>
      <x:c r="M262" s="14" t="str">
        <x:v>Config(CONFIG_KEEPER) / Config(LIMITED_CONFIG_KEEPER)</x:v>
      </x:c>
      <x:c r="N262" s="14" t="str">
        <x:v>沿用/见变更表</x:v>
      </x:c>
      <x:c r="O262" s="14" t="str">
        <x:v>FX100Keys.sol / Config.sol / registry-v0.3.2.json</x:v>
      </x:c>
    </x:row>
    <x:row r="263">
      <x:c r="A263" s="16" t="n">
        <x:v>262</x:v>
      </x:c>
      <x:c r="B263" s="14" t="str">
        <x:v>派生 Key</x:v>
      </x:c>
      <x:c r="C263" s="14" t="str">
        <x:v>maxPoolUsdForDepositKey</x:v>
      </x:c>
      <x:c r="D263" s="14" t="str">
        <x:v>MAX_POOL_USD_FOR_DEPOSIT</x:v>
      </x:c>
      <x:c r="E263" s="14" t="str">
        <x:v>MAX_POOL_USD_FOR_DEPOSIT</x:v>
      </x:c>
      <x:c r="F263" s="14" t="str"/>
      <x:c r="G263" s="14" t="str">
        <x:v>keccak256(abi.encode(BASE,...args))</x:v>
      </x:c>
      <x:c r="H263" s="14" t="str">
        <x:v>uint256 marketIndex [market], address token [token]</x:v>
      </x:c>
      <x:c r="I263" s="14" t="str"/>
      <x:c r="J263" s="14" t="str">
        <x:v>market + token</x:v>
      </x:c>
      <x:c r="K263" s="16" t="str">
        <x:v>是</x:v>
      </x:c>
      <x:c r="L263" s="16" t="str">
        <x:v>是</x:v>
      </x:c>
      <x:c r="M263" s="14" t="str">
        <x:v>Config(CONFIG_KEEPER) / Config(LIMITED_CONFIG_KEEPER)</x:v>
      </x:c>
      <x:c r="N263" s="14" t="str">
        <x:v>沿用/见变更表</x:v>
      </x:c>
      <x:c r="O263" s="14" t="str">
        <x:v>FX100Keys.sol / Config.sol / registry-v0.3.2.json</x:v>
      </x:c>
    </x:row>
    <x:row r="264">
      <x:c r="A264" s="16" t="n">
        <x:v>263</x:v>
      </x:c>
      <x:c r="B264" s="14" t="str">
        <x:v>派生 Key</x:v>
      </x:c>
      <x:c r="C264" s="14" t="str">
        <x:v>maxOpenInterestKey</x:v>
      </x:c>
      <x:c r="D264" s="14" t="str">
        <x:v>MAX_OPEN_INTEREST</x:v>
      </x:c>
      <x:c r="E264" s="14" t="str">
        <x:v>MAX_OPEN_INTEREST</x:v>
      </x:c>
      <x:c r="F264" s="14" t="str"/>
      <x:c r="G264" s="14" t="str">
        <x:v>keccak256(abi.encode(BASE,...args))</x:v>
      </x:c>
      <x:c r="H264" s="14" t="str">
        <x:v>uint256 marketIndex [market], bool isLong [bool]</x:v>
      </x:c>
      <x:c r="I264" s="14" t="str">
        <x:v>uint</x:v>
      </x:c>
      <x:c r="J264" s="14" t="str">
        <x:v>market + bool</x:v>
      </x:c>
      <x:c r="K264" s="16" t="str">
        <x:v>是</x:v>
      </x:c>
      <x:c r="L264" s="16" t="str">
        <x:v>是</x:v>
      </x:c>
      <x:c r="M264" s="14" t="str">
        <x:v>Config(CONFIG_KEEPER) / Config(LIMITED_CONFIG_KEEPER)</x:v>
      </x:c>
      <x:c r="N264" s="14" t="str">
        <x:v>沿用/见变更表</x:v>
      </x:c>
      <x:c r="O264" s="14" t="str">
        <x:v>FX100Keys.sol / Config.sol / registry-v0.3.2.json</x:v>
      </x:c>
    </x:row>
    <x:row r="265">
      <x:c r="A265" s="16" t="n">
        <x:v>264</x:v>
      </x:c>
      <x:c r="B265" s="14" t="str">
        <x:v>派生 Key</x:v>
      </x:c>
      <x:c r="C265" s="14" t="str">
        <x:v>maxOpenInterestFactorKey</x:v>
      </x:c>
      <x:c r="D265" s="14" t="str">
        <x:v>MAX_OPEN_INTEREST_FACTOR</x:v>
      </x:c>
      <x:c r="E265" s="14" t="str">
        <x:v>MAX_OPEN_INTEREST_FACTOR</x:v>
      </x:c>
      <x:c r="F265" s="14" t="str"/>
      <x:c r="G265" s="14" t="str">
        <x:v>keccak256(abi.encode(BASE,...args))</x:v>
      </x:c>
      <x:c r="H265" s="14" t="str">
        <x:v>uint256 marketIndex [market], bool isLong [bool]</x:v>
      </x:c>
      <x:c r="I265" s="14" t="str">
        <x:v>uint</x:v>
      </x:c>
      <x:c r="J265" s="14" t="str">
        <x:v>market + bool</x:v>
      </x:c>
      <x:c r="K265" s="16" t="str">
        <x:v>否</x:v>
      </x:c>
      <x:c r="L265" s="16" t="str">
        <x:v>否</x:v>
      </x:c>
      <x:c r="M265" s="14" t="str">
        <x:v>DataStore 直写(CONTROLLER)</x:v>
      </x:c>
      <x:c r="N265" s="14" t="str">
        <x:v>沿用/见变更表</x:v>
      </x:c>
      <x:c r="O265" s="14" t="str">
        <x:v>FX100Keys.sol / Config.sol / registry-v0.3.2.json</x:v>
      </x:c>
    </x:row>
    <x:row r="266">
      <x:c r="A266" s="16" t="n">
        <x:v>265</x:v>
      </x:c>
      <x:c r="B266" s="14" t="str">
        <x:v>派生 Key</x:v>
      </x:c>
      <x:c r="C266" s="14" t="str">
        <x:v>positionImpactPoolAmountKey</x:v>
      </x:c>
      <x:c r="D266" s="14" t="str">
        <x:v>POSITION_IMPACT_POOL_AMOUNT</x:v>
      </x:c>
      <x:c r="E266" s="14" t="str">
        <x:v>POSITION_IMPACT_POOL_AMOUNT</x:v>
      </x:c>
      <x:c r="F266" s="14" t="str"/>
      <x:c r="G266" s="14" t="str">
        <x:v>keccak256(abi.encode(BASE,...args))</x:v>
      </x:c>
      <x:c r="H266" s="14" t="str">
        <x:v>uint256 marketIndex [market]</x:v>
      </x:c>
      <x:c r="I266" s="14" t="str"/>
      <x:c r="J266" s="14" t="str">
        <x:v>market</x:v>
      </x:c>
      <x:c r="K266" s="16" t="str">
        <x:v>否</x:v>
      </x:c>
      <x:c r="L266" s="16" t="str">
        <x:v>否</x:v>
      </x:c>
      <x:c r="M266" s="14" t="str">
        <x:v>DataStore 直写(CONTROLLER)</x:v>
      </x:c>
      <x:c r="N266" s="14" t="str">
        <x:v>沿用/见变更表</x:v>
      </x:c>
      <x:c r="O266" s="14" t="str">
        <x:v>FX100Keys.sol / Config.sol / registry-v0.3.2.json</x:v>
      </x:c>
    </x:row>
    <x:row r="267">
      <x:c r="A267" s="16" t="n">
        <x:v>266</x:v>
      </x:c>
      <x:c r="B267" s="14" t="str">
        <x:v>派生 Key</x:v>
      </x:c>
      <x:c r="C267" s="14" t="str">
        <x:v>lentPositionImpactPoolAmountKey</x:v>
      </x:c>
      <x:c r="D267" s="14" t="str">
        <x:v>LENT_POSITION_IMPACT_POOL_AMOUNT</x:v>
      </x:c>
      <x:c r="E267" s="14" t="str">
        <x:v>LENT_POSITION_IMPACT_POOL_AMOUNT</x:v>
      </x:c>
      <x:c r="F267" s="14" t="str"/>
      <x:c r="G267" s="14" t="str">
        <x:v>keccak256(abi.encode(BASE,...args))</x:v>
      </x:c>
      <x:c r="H267" s="14" t="str">
        <x:v>uint256 marketIndex [market]</x:v>
      </x:c>
      <x:c r="I267" s="14" t="str"/>
      <x:c r="J267" s="14" t="str">
        <x:v>market</x:v>
      </x:c>
      <x:c r="K267" s="16" t="str">
        <x:v>否</x:v>
      </x:c>
      <x:c r="L267" s="16" t="str">
        <x:v>否</x:v>
      </x:c>
      <x:c r="M267" s="14" t="str">
        <x:v>DataStore 直写(CONTROLLER)</x:v>
      </x:c>
      <x:c r="N267" s="14" t="str">
        <x:v>沿用/见变更表</x:v>
      </x:c>
      <x:c r="O267" s="14" t="str">
        <x:v>FX100Keys.sol / Config.sol / registry-v0.3.2.json</x:v>
      </x:c>
    </x:row>
    <x:row r="268">
      <x:c r="A268" s="16" t="n">
        <x:v>267</x:v>
      </x:c>
      <x:c r="B268" s="14" t="str">
        <x:v>派生 Key</x:v>
      </x:c>
      <x:c r="C268" s="14" t="str">
        <x:v>maxLendableImpactFactorKey</x:v>
      </x:c>
      <x:c r="D268" s="14" t="str">
        <x:v>MAX_LENDABLE_IMPACT_FACTOR</x:v>
      </x:c>
      <x:c r="E268" s="14" t="str">
        <x:v>MAX_LENDABLE_IMPACT_FACTOR</x:v>
      </x:c>
      <x:c r="F268" s="14" t="str"/>
      <x:c r="G268" s="14" t="str">
        <x:v>keccak256(abi.encode(BASE,...args))</x:v>
      </x:c>
      <x:c r="H268" s="14" t="str">
        <x:v>uint256 marketIndex [market]</x:v>
      </x:c>
      <x:c r="I268" s="14" t="str"/>
      <x:c r="J268" s="14" t="str">
        <x:v>market</x:v>
      </x:c>
      <x:c r="K268" s="16" t="str">
        <x:v>是</x:v>
      </x:c>
      <x:c r="L268" s="16" t="str">
        <x:v>否</x:v>
      </x:c>
      <x:c r="M268" s="14" t="str">
        <x:v>Config(CONFIG_KEEPER)</x:v>
      </x:c>
      <x:c r="N268" s="14" t="str">
        <x:v>沿用/见变更表</x:v>
      </x:c>
      <x:c r="O268" s="14" t="str">
        <x:v>FX100Keys.sol / Config.sol / registry-v0.3.2.json</x:v>
      </x:c>
    </x:row>
    <x:row r="269">
      <x:c r="A269" s="16" t="n">
        <x:v>268</x:v>
      </x:c>
      <x:c r="B269" s="14" t="str">
        <x:v>派生 Key</x:v>
      </x:c>
      <x:c r="C269" s="14" t="str">
        <x:v>maxLendableImpactFactorForWithdrawalsKey</x:v>
      </x:c>
      <x:c r="D269" s="14" t="str">
        <x:v>MAX_LENDABLE_IMPACT_FACTOR_FOR_WITHDRAWALS</x:v>
      </x:c>
      <x:c r="E269" s="14" t="str">
        <x:v>MAX_LENDABLE_IMPACT_FACTOR_FOR_WITHDRAWALS</x:v>
      </x:c>
      <x:c r="F269" s="14" t="str"/>
      <x:c r="G269" s="14" t="str">
        <x:v>keccak256(abi.encode(BASE,...args))</x:v>
      </x:c>
      <x:c r="H269" s="14" t="str">
        <x:v>uint256 marketIndex [market]</x:v>
      </x:c>
      <x:c r="I269" s="14" t="str"/>
      <x:c r="J269" s="14" t="str">
        <x:v>market</x:v>
      </x:c>
      <x:c r="K269" s="16" t="str">
        <x:v>是</x:v>
      </x:c>
      <x:c r="L269" s="16" t="str">
        <x:v>否</x:v>
      </x:c>
      <x:c r="M269" s="14" t="str">
        <x:v>Config(CONFIG_KEEPER)</x:v>
      </x:c>
      <x:c r="N269" s="14" t="str">
        <x:v>沿用/见变更表</x:v>
      </x:c>
      <x:c r="O269" s="14" t="str">
        <x:v>FX100Keys.sol / Config.sol / registry-v0.3.2.json</x:v>
      </x:c>
    </x:row>
    <x:row r="270">
      <x:c r="A270" s="16" t="n">
        <x:v>269</x:v>
      </x:c>
      <x:c r="B270" s="14" t="str">
        <x:v>派生 Key</x:v>
      </x:c>
      <x:c r="C270" s="14" t="str">
        <x:v>maxLendableImpactUsdKey</x:v>
      </x:c>
      <x:c r="D270" s="14" t="str">
        <x:v>MAX_LENDABLE_IMPACT_USD</x:v>
      </x:c>
      <x:c r="E270" s="14" t="str">
        <x:v>MAX_LENDABLE_IMPACT_USD</x:v>
      </x:c>
      <x:c r="F270" s="14" t="str"/>
      <x:c r="G270" s="14" t="str">
        <x:v>keccak256(abi.encode(BASE,...args))</x:v>
      </x:c>
      <x:c r="H270" s="14" t="str">
        <x:v>uint256 marketIndex [market]</x:v>
      </x:c>
      <x:c r="I270" s="14" t="str"/>
      <x:c r="J270" s="14" t="str">
        <x:v>market</x:v>
      </x:c>
      <x:c r="K270" s="16" t="str">
        <x:v>是</x:v>
      </x:c>
      <x:c r="L270" s="16" t="str">
        <x:v>否</x:v>
      </x:c>
      <x:c r="M270" s="14" t="str">
        <x:v>Config(CONFIG_KEEPER)</x:v>
      </x:c>
      <x:c r="N270" s="14" t="str">
        <x:v>沿用/见变更表</x:v>
      </x:c>
      <x:c r="O270" s="14" t="str">
        <x:v>FX100Keys.sol / Config.sol / registry-v0.3.2.json</x:v>
      </x:c>
    </x:row>
    <x:row r="271">
      <x:c r="A271" s="16" t="n">
        <x:v>270</x:v>
      </x:c>
      <x:c r="B271" s="14" t="str">
        <x:v>派生 Key</x:v>
      </x:c>
      <x:c r="C271" s="14" t="str">
        <x:v>minPositionImpactPoolAmountKey</x:v>
      </x:c>
      <x:c r="D271" s="14" t="str">
        <x:v>MIN_POSITION_IMPACT_POOL_AMOUNT</x:v>
      </x:c>
      <x:c r="E271" s="14" t="str">
        <x:v>MIN_POSITION_IMPACT_POOL_AMOUNT</x:v>
      </x:c>
      <x:c r="F271" s="14" t="str"/>
      <x:c r="G271" s="14" t="str">
        <x:v>keccak256(abi.encode(BASE,...args))</x:v>
      </x:c>
      <x:c r="H271" s="14" t="str">
        <x:v>uint256 marketIndex [market]</x:v>
      </x:c>
      <x:c r="I271" s="14" t="str"/>
      <x:c r="J271" s="14" t="str">
        <x:v>market</x:v>
      </x:c>
      <x:c r="K271" s="16" t="str">
        <x:v>否</x:v>
      </x:c>
      <x:c r="L271" s="16" t="str">
        <x:v>否</x:v>
      </x:c>
      <x:c r="M271" s="14" t="str">
        <x:v>DataStore 直写(CONTROLLER)</x:v>
      </x:c>
      <x:c r="N271" s="14" t="str">
        <x:v>沿用/见变更表</x:v>
      </x:c>
      <x:c r="O271" s="14" t="str">
        <x:v>FX100Keys.sol / Config.sol / registry-v0.3.2.json</x:v>
      </x:c>
    </x:row>
    <x:row r="272">
      <x:c r="A272" s="16" t="n">
        <x:v>271</x:v>
      </x:c>
      <x:c r="B272" s="14" t="str">
        <x:v>派生 Key</x:v>
      </x:c>
      <x:c r="C272" s="14" t="str">
        <x:v>positionImpactPoolDistributionRateKey</x:v>
      </x:c>
      <x:c r="D272" s="14" t="str">
        <x:v>POSITION_IMPACT_POOL_DISTRIBUTION_RATE</x:v>
      </x:c>
      <x:c r="E272" s="14" t="str">
        <x:v>POSITION_IMPACT_POOL_DISTRIBUTION_RATE</x:v>
      </x:c>
      <x:c r="F272" s="14" t="str"/>
      <x:c r="G272" s="14" t="str">
        <x:v>keccak256(abi.encode(BASE,...args))</x:v>
      </x:c>
      <x:c r="H272" s="14" t="str">
        <x:v>uint256 marketIndex [market]</x:v>
      </x:c>
      <x:c r="I272" s="14" t="str"/>
      <x:c r="J272" s="14" t="str">
        <x:v>market</x:v>
      </x:c>
      <x:c r="K272" s="16" t="str">
        <x:v>否</x:v>
      </x:c>
      <x:c r="L272" s="16" t="str">
        <x:v>否</x:v>
      </x:c>
      <x:c r="M272" s="14" t="str">
        <x:v>DataStore 直写(CONTROLLER)</x:v>
      </x:c>
      <x:c r="N272" s="14" t="str">
        <x:v>沿用/见变更表</x:v>
      </x:c>
      <x:c r="O272" s="14" t="str">
        <x:v>FX100Keys.sol / Config.sol / registry-v0.3.2.json</x:v>
      </x:c>
    </x:row>
    <x:row r="273">
      <x:c r="A273" s="16" t="n">
        <x:v>272</x:v>
      </x:c>
      <x:c r="B273" s="14" t="str">
        <x:v>派生 Key</x:v>
      </x:c>
      <x:c r="C273" s="14" t="str">
        <x:v>positionImpactPoolDistributedAtKey</x:v>
      </x:c>
      <x:c r="D273" s="14" t="str">
        <x:v>POSITION_IMPACT_POOL_DISTRIBUTED_AT</x:v>
      </x:c>
      <x:c r="E273" s="14" t="str">
        <x:v>POSITION_IMPACT_POOL_DISTRIBUTED_AT</x:v>
      </x:c>
      <x:c r="F273" s="14" t="str"/>
      <x:c r="G273" s="14" t="str">
        <x:v>keccak256(abi.encode(BASE,...args))</x:v>
      </x:c>
      <x:c r="H273" s="14" t="str">
        <x:v>uint256 marketIndex [market]</x:v>
      </x:c>
      <x:c r="I273" s="14" t="str"/>
      <x:c r="J273" s="14" t="str">
        <x:v>market</x:v>
      </x:c>
      <x:c r="K273" s="16" t="str">
        <x:v>否</x:v>
      </x:c>
      <x:c r="L273" s="16" t="str">
        <x:v>否</x:v>
      </x:c>
      <x:c r="M273" s="14" t="str">
        <x:v>DataStore 直写(CONTROLLER)</x:v>
      </x:c>
      <x:c r="N273" s="14" t="str">
        <x:v>沿用/见变更表</x:v>
      </x:c>
      <x:c r="O273" s="14" t="str">
        <x:v>FX100Keys.sol / Config.sol / registry-v0.3.2.json</x:v>
      </x:c>
    </x:row>
    <x:row r="274">
      <x:c r="A274" s="16" t="n">
        <x:v>273</x:v>
      </x:c>
      <x:c r="B274" s="14" t="str">
        <x:v>派生 Key</x:v>
      </x:c>
      <x:c r="C274" s="14" t="str">
        <x:v>swapImpactPoolAmountKey</x:v>
      </x:c>
      <x:c r="D274" s="14" t="str">
        <x:v>SWAP_IMPACT_POOL_AMOUNT</x:v>
      </x:c>
      <x:c r="E274" s="14" t="str">
        <x:v>SWAP_IMPACT_POOL_AMOUNT</x:v>
      </x:c>
      <x:c r="F274" s="14" t="str"/>
      <x:c r="G274" s="14" t="str">
        <x:v>keccak256(abi.encode(BASE,...args))</x:v>
      </x:c>
      <x:c r="H274" s="14" t="str">
        <x:v>uint256 marketIndex [market], address token [token]</x:v>
      </x:c>
      <x:c r="I274" s="14" t="str"/>
      <x:c r="J274" s="14" t="str">
        <x:v>market + token</x:v>
      </x:c>
      <x:c r="K274" s="16" t="str">
        <x:v>否</x:v>
      </x:c>
      <x:c r="L274" s="16" t="str">
        <x:v>否</x:v>
      </x:c>
      <x:c r="M274" s="14" t="str">
        <x:v>DataStore 直写(CONTROLLER)</x:v>
      </x:c>
      <x:c r="N274" s="14" t="str">
        <x:v>沿用/见变更表</x:v>
      </x:c>
      <x:c r="O274" s="14" t="str">
        <x:v>FX100Keys.sol / Config.sol / registry-v0.3.2.json</x:v>
      </x:c>
    </x:row>
    <x:row r="275">
      <x:c r="A275" s="16" t="n">
        <x:v>274</x:v>
      </x:c>
      <x:c r="B275" s="14" t="str">
        <x:v>派生 Key</x:v>
      </x:c>
      <x:c r="C275" s="14" t="str">
        <x:v>reserveFactorKey</x:v>
      </x:c>
      <x:c r="D275" s="14" t="str">
        <x:v>RESERVE_FACTOR</x:v>
      </x:c>
      <x:c r="E275" s="14" t="str">
        <x:v>RESERVE_FACTOR</x:v>
      </x:c>
      <x:c r="F275" s="14" t="str"/>
      <x:c r="G275" s="14" t="str">
        <x:v>keccak256(abi.encode(BASE,...args))</x:v>
      </x:c>
      <x:c r="H275" s="14" t="str">
        <x:v>uint256 marketIndex [market]</x:v>
      </x:c>
      <x:c r="I275" s="14" t="str">
        <x:v>uint</x:v>
      </x:c>
      <x:c r="J275" s="14" t="str">
        <x:v>market</x:v>
      </x:c>
      <x:c r="K275" s="16" t="str">
        <x:v>是</x:v>
      </x:c>
      <x:c r="L275" s="16" t="str">
        <x:v>否</x:v>
      </x:c>
      <x:c r="M275" s="14" t="str">
        <x:v>Config(CONFIG_KEEPER)</x:v>
      </x:c>
      <x:c r="N275" s="14" t="str">
        <x:v>沿用/见变更表</x:v>
      </x:c>
      <x:c r="O275" s="14" t="str">
        <x:v>FX100Keys.sol / Config.sol / registry-v0.3.2.json</x:v>
      </x:c>
    </x:row>
    <x:row r="276">
      <x:c r="A276" s="16" t="n">
        <x:v>275</x:v>
      </x:c>
      <x:c r="B276" s="14" t="str">
        <x:v>派生 Key</x:v>
      </x:c>
      <x:c r="C276" s="14" t="str">
        <x:v>maxPnlFactorKey</x:v>
      </x:c>
      <x:c r="D276" s="14" t="str">
        <x:v>MAX_PNL_FACTOR</x:v>
      </x:c>
      <x:c r="E276" s="14" t="str">
        <x:v>MAX_PNL_FACTOR</x:v>
      </x:c>
      <x:c r="F276" s="14" t="str"/>
      <x:c r="G276" s="14" t="str">
        <x:v>keccak256(abi.encode(BASE,...args))</x:v>
      </x:c>
      <x:c r="H276" s="14" t="str">
        <x:v>bytes32 pnlFactorType [pnlFactorType], uint256 marketIndex [market], bool isLong [bool]</x:v>
      </x:c>
      <x:c r="I276" s="14" t="str">
        <x:v>uint</x:v>
      </x:c>
      <x:c r="J276" s="14" t="str">
        <x:v>pnlFactorType + market + bool</x:v>
      </x:c>
      <x:c r="K276" s="16" t="str">
        <x:v>是</x:v>
      </x:c>
      <x:c r="L276" s="16" t="str">
        <x:v>否</x:v>
      </x:c>
      <x:c r="M276" s="14" t="str">
        <x:v>Config(CONFIG_KEEPER)</x:v>
      </x:c>
      <x:c r="N276" s="14" t="str">
        <x:v>沿用/见变更表</x:v>
      </x:c>
      <x:c r="O276" s="14" t="str">
        <x:v>FX100Keys.sol / Config.sol / registry-v0.3.2.json</x:v>
      </x:c>
    </x:row>
    <x:row r="277">
      <x:c r="A277" s="16" t="n">
        <x:v>276</x:v>
      </x:c>
      <x:c r="B277" s="14" t="str">
        <x:v>派生 Key</x:v>
      </x:c>
      <x:c r="C277" s="14" t="str">
        <x:v>minPnlFactorAfterAdlKey</x:v>
      </x:c>
      <x:c r="D277" s="14" t="str">
        <x:v>MIN_PNL_FACTOR_AFTER_ADL</x:v>
      </x:c>
      <x:c r="E277" s="14" t="str">
        <x:v>MIN_PNL_FACTOR_AFTER_ADL</x:v>
      </x:c>
      <x:c r="F277" s="14" t="str"/>
      <x:c r="G277" s="14" t="str">
        <x:v>identity</x:v>
      </x:c>
      <x:c r="H277" s="14" t="str"/>
      <x:c r="I277" s="14" t="str">
        <x:v>uint</x:v>
      </x:c>
      <x:c r="J277" s="14" t="str">
        <x:v>global</x:v>
      </x:c>
      <x:c r="K277" s="16" t="str">
        <x:v>是</x:v>
      </x:c>
      <x:c r="L277" s="16" t="str">
        <x:v>否</x:v>
      </x:c>
      <x:c r="M277" s="14" t="str">
        <x:v>Config(CONFIG_KEEPER)</x:v>
      </x:c>
      <x:c r="N277" s="14" t="str">
        <x:v>沿用/见变更表</x:v>
      </x:c>
      <x:c r="O277" s="14" t="str">
        <x:v>FX100Keys.sol / Config.sol / registry-v0.3.2.json</x:v>
      </x:c>
    </x:row>
    <x:row r="278">
      <x:c r="A278" s="16" t="n">
        <x:v>277</x:v>
      </x:c>
      <x:c r="B278" s="14" t="str">
        <x:v>派生 Key</x:v>
      </x:c>
      <x:c r="C278" s="14" t="str">
        <x:v>latestAdlAtKey</x:v>
      </x:c>
      <x:c r="D278" s="14" t="str">
        <x:v>LATEST_ADL_AT</x:v>
      </x:c>
      <x:c r="E278" s="14" t="str">
        <x:v>LATEST_ADL_AT</x:v>
      </x:c>
      <x:c r="F278" s="14" t="str"/>
      <x:c r="G278" s="14" t="str">
        <x:v>identity</x:v>
      </x:c>
      <x:c r="H278" s="14" t="str"/>
      <x:c r="I278" s="14" t="str">
        <x:v>uint</x:v>
      </x:c>
      <x:c r="J278" s="14" t="str">
        <x:v>global</x:v>
      </x:c>
      <x:c r="K278" s="16" t="str">
        <x:v>否</x:v>
      </x:c>
      <x:c r="L278" s="16" t="str">
        <x:v>否</x:v>
      </x:c>
      <x:c r="M278" s="14" t="str">
        <x:v>DataStore 直写(CONTROLLER)</x:v>
      </x:c>
      <x:c r="N278" s="14" t="str">
        <x:v>沿用/见变更表</x:v>
      </x:c>
      <x:c r="O278" s="14" t="str">
        <x:v>FX100Keys.sol / Config.sol / registry-v0.3.2.json</x:v>
      </x:c>
    </x:row>
    <x:row r="279">
      <x:c r="A279" s="16" t="n">
        <x:v>278</x:v>
      </x:c>
      <x:c r="B279" s="14" t="str">
        <x:v>派生 Key</x:v>
      </x:c>
      <x:c r="C279" s="14" t="str">
        <x:v>isAdlEnabledKey</x:v>
      </x:c>
      <x:c r="D279" s="14" t="str">
        <x:v>IS_ADL_ENABLED</x:v>
      </x:c>
      <x:c r="E279" s="14" t="str">
        <x:v>IS_ADL_ENABLED</x:v>
      </x:c>
      <x:c r="F279" s="14" t="str"/>
      <x:c r="G279" s="14" t="str">
        <x:v>identity</x:v>
      </x:c>
      <x:c r="H279" s="14" t="str"/>
      <x:c r="I279" s="14" t="str">
        <x:v>bool</x:v>
      </x:c>
      <x:c r="J279" s="14" t="str">
        <x:v>global</x:v>
      </x:c>
      <x:c r="K279" s="16" t="str">
        <x:v>否</x:v>
      </x:c>
      <x:c r="L279" s="16" t="str">
        <x:v>否</x:v>
      </x:c>
      <x:c r="M279" s="14" t="str">
        <x:v>DataStore 直写(CONTROLLER)</x:v>
      </x:c>
      <x:c r="N279" s="14" t="str">
        <x:v>沿用/见变更表</x:v>
      </x:c>
      <x:c r="O279" s="14" t="str">
        <x:v>FX100Keys.sol / Config.sol / registry-v0.3.2.json</x:v>
      </x:c>
    </x:row>
    <x:row r="280">
      <x:c r="A280" s="16" t="n">
        <x:v>279</x:v>
      </x:c>
      <x:c r="B280" s="14" t="str">
        <x:v>派生 Key</x:v>
      </x:c>
      <x:c r="C280" s="14" t="str">
        <x:v>fundingSkewEmaKey</x:v>
      </x:c>
      <x:c r="D280" s="14" t="str">
        <x:v>FUNDING_SKEW_EMA</x:v>
      </x:c>
      <x:c r="E280" s="14" t="str">
        <x:v>FUNDING_SKEW_EMA</x:v>
      </x:c>
      <x:c r="F280" s="14" t="str"/>
      <x:c r="G280" s="14" t="str">
        <x:v>keccak256(abi.encode(BASE,...args))</x:v>
      </x:c>
      <x:c r="H280" s="14" t="str">
        <x:v>uint256 marketIndex [market]</x:v>
      </x:c>
      <x:c r="I280" s="14" t="str">
        <x:v>bytes32</x:v>
      </x:c>
      <x:c r="J280" s="14" t="str">
        <x:v>market</x:v>
      </x:c>
      <x:c r="K280" s="16" t="str">
        <x:v>否</x:v>
      </x:c>
      <x:c r="L280" s="16" t="str">
        <x:v>否</x:v>
      </x:c>
      <x:c r="M280" s="14" t="str">
        <x:v>DataStore 直写(CONTROLLER)</x:v>
      </x:c>
      <x:c r="N280" s="14" t="str">
        <x:v>沿用/见变更表</x:v>
      </x:c>
      <x:c r="O280" s="14" t="str">
        <x:v>FX100Keys.sol / Config.sol / registry-v0.3.2.json</x:v>
      </x:c>
    </x:row>
    <x:row r="281">
      <x:c r="A281" s="16" t="n">
        <x:v>280</x:v>
      </x:c>
      <x:c r="B281" s="14" t="str">
        <x:v>派生 Key</x:v>
      </x:c>
      <x:c r="C281" s="14" t="str">
        <x:v>fundingFloorFactorKey</x:v>
      </x:c>
      <x:c r="D281" s="14" t="str">
        <x:v>FUNDING_FLOOR_FACTOR</x:v>
      </x:c>
      <x:c r="E281" s="14" t="str">
        <x:v>FUNDING_FLOOR_FACTOR</x:v>
      </x:c>
      <x:c r="F281" s="14" t="str"/>
      <x:c r="G281" s="14" t="str">
        <x:v>keccak256(abi.encode(BASE,...args))</x:v>
      </x:c>
      <x:c r="H281" s="14" t="str">
        <x:v>uint256 marketIndex [market]</x:v>
      </x:c>
      <x:c r="I281" s="14" t="str">
        <x:v>int</x:v>
      </x:c>
      <x:c r="J281" s="14" t="str">
        <x:v>market</x:v>
      </x:c>
      <x:c r="K281" s="16" t="str">
        <x:v>是</x:v>
      </x:c>
      <x:c r="L281" s="16" t="str">
        <x:v>否</x:v>
      </x:c>
      <x:c r="M281" s="14" t="str">
        <x:v>Config(CONFIG_KEEPER)</x:v>
      </x:c>
      <x:c r="N281" s="14" t="str">
        <x:v>沿用/见变更表</x:v>
      </x:c>
      <x:c r="O281" s="14" t="str">
        <x:v>FX100Keys.sol / Config.sol / registry-v0.3.2.json</x:v>
      </x:c>
    </x:row>
    <x:row r="282">
      <x:c r="A282" s="16" t="n">
        <x:v>281</x:v>
      </x:c>
      <x:c r="B282" s="14" t="str">
        <x:v>派生 Key</x:v>
      </x:c>
      <x:c r="C282" s="14" t="str">
        <x:v>fundingBaseFactorKey</x:v>
      </x:c>
      <x:c r="D282" s="14" t="str">
        <x:v>FUNDING_BASE_FACTOR</x:v>
      </x:c>
      <x:c r="E282" s="14" t="str">
        <x:v>FUNDING_BASE_FACTOR</x:v>
      </x:c>
      <x:c r="F282" s="14" t="str"/>
      <x:c r="G282" s="14" t="str">
        <x:v>keccak256(abi.encode(BASE,...args))</x:v>
      </x:c>
      <x:c r="H282" s="14" t="str">
        <x:v>uint256 marketIndex [market]</x:v>
      </x:c>
      <x:c r="I282" s="14" t="str">
        <x:v>int</x:v>
      </x:c>
      <x:c r="J282" s="14" t="str">
        <x:v>market</x:v>
      </x:c>
      <x:c r="K282" s="16" t="str">
        <x:v>是</x:v>
      </x:c>
      <x:c r="L282" s="16" t="str">
        <x:v>否</x:v>
      </x:c>
      <x:c r="M282" s="14" t="str">
        <x:v>Config(CONFIG_KEEPER)</x:v>
      </x:c>
      <x:c r="N282" s="14" t="str">
        <x:v>沿用/见变更表</x:v>
      </x:c>
      <x:c r="O282" s="14" t="str">
        <x:v>FX100Keys.sol / Config.sol / registry-v0.3.2.json</x:v>
      </x:c>
    </x:row>
    <x:row r="283">
      <x:c r="A283" s="16" t="n">
        <x:v>282</x:v>
      </x:c>
      <x:c r="B283" s="14" t="str">
        <x:v>派生 Key</x:v>
      </x:c>
      <x:c r="C283" s="14" t="str">
        <x:v>minFundingFactorPerSecondKey</x:v>
      </x:c>
      <x:c r="D283" s="14" t="str">
        <x:v>MIN_FUNDING_FACTOR_PER_SECOND</x:v>
      </x:c>
      <x:c r="E283" s="14" t="str">
        <x:v>MIN_FUNDING_FACTOR_PER_SECOND</x:v>
      </x:c>
      <x:c r="F283" s="14" t="str"/>
      <x:c r="G283" s="14" t="str">
        <x:v>keccak256(abi.encode(BASE,...args))</x:v>
      </x:c>
      <x:c r="H283" s="14" t="str">
        <x:v>uint256 marketIndex [market]</x:v>
      </x:c>
      <x:c r="I283" s="14" t="str">
        <x:v>int</x:v>
      </x:c>
      <x:c r="J283" s="14" t="str">
        <x:v>market</x:v>
      </x:c>
      <x:c r="K283" s="16" t="str">
        <x:v>是</x:v>
      </x:c>
      <x:c r="L283" s="16" t="str">
        <x:v>是</x:v>
      </x:c>
      <x:c r="M283" s="14" t="str">
        <x:v>Config(CONFIG_KEEPER) / Config(LIMITED_CONFIG_KEEPER)</x:v>
      </x:c>
      <x:c r="N283" s="14" t="str">
        <x:v>沿用/见变更表</x:v>
      </x:c>
      <x:c r="O283" s="14" t="str">
        <x:v>FX100Keys.sol / Config.sol / registry-v0.3.2.json</x:v>
      </x:c>
    </x:row>
    <x:row r="284">
      <x:c r="A284" s="16" t="n">
        <x:v>283</x:v>
      </x:c>
      <x:c r="B284" s="14" t="str">
        <x:v>派生 Key</x:v>
      </x:c>
      <x:c r="C284" s="14" t="str">
        <x:v>maxFundingFactorPerSecondKey</x:v>
      </x:c>
      <x:c r="D284" s="14" t="str">
        <x:v>MAX_FUNDING_FACTOR_PER_SECOND</x:v>
      </x:c>
      <x:c r="E284" s="14" t="str">
        <x:v>MAX_FUNDING_FACTOR_PER_SECOND</x:v>
      </x:c>
      <x:c r="F284" s="14" t="str"/>
      <x:c r="G284" s="14" t="str">
        <x:v>keccak256(abi.encode(BASE,...args))</x:v>
      </x:c>
      <x:c r="H284" s="14" t="str">
        <x:v>uint256 marketIndex [market]</x:v>
      </x:c>
      <x:c r="I284" s="14" t="str">
        <x:v>int</x:v>
      </x:c>
      <x:c r="J284" s="14" t="str">
        <x:v>market</x:v>
      </x:c>
      <x:c r="K284" s="16" t="str">
        <x:v>是</x:v>
      </x:c>
      <x:c r="L284" s="16" t="str">
        <x:v>是</x:v>
      </x:c>
      <x:c r="M284" s="14" t="str">
        <x:v>Config(CONFIG_KEEPER) / Config(LIMITED_CONFIG_KEEPER)</x:v>
      </x:c>
      <x:c r="N284" s="14" t="str">
        <x:v>沿用/见变更表</x:v>
      </x:c>
      <x:c r="O284" s="14" t="str">
        <x:v>FX100Keys.sol / Config.sol / registry-v0.3.2.json</x:v>
      </x:c>
    </x:row>
    <x:row r="285">
      <x:c r="A285" s="16" t="n">
        <x:v>284</x:v>
      </x:c>
      <x:c r="B285" s="14" t="str">
        <x:v>派生 Key</x:v>
      </x:c>
      <x:c r="C285" s="14" t="str">
        <x:v>thresholdForStableFundingKey</x:v>
      </x:c>
      <x:c r="D285" s="14" t="str">
        <x:v>THRESHOLD_FOR_STABLE_FUNDING</x:v>
      </x:c>
      <x:c r="E285" s="14" t="str">
        <x:v>THRESHOLD_FOR_STABLE_FUNDING</x:v>
      </x:c>
      <x:c r="F285" s="14" t="str"/>
      <x:c r="G285" s="14" t="str">
        <x:v>keccak256(abi.encode(BASE,...args))</x:v>
      </x:c>
      <x:c r="H285" s="14" t="str">
        <x:v>uint256 marketIndex [market]</x:v>
      </x:c>
      <x:c r="I285" s="14" t="str"/>
      <x:c r="J285" s="14" t="str">
        <x:v>market</x:v>
      </x:c>
      <x:c r="K285" s="16" t="str">
        <x:v>是</x:v>
      </x:c>
      <x:c r="L285" s="16" t="str">
        <x:v>否</x:v>
      </x:c>
      <x:c r="M285" s="14" t="str">
        <x:v>Config(CONFIG_KEEPER)</x:v>
      </x:c>
      <x:c r="N285" s="14" t="str">
        <x:v>沿用/见变更表</x:v>
      </x:c>
      <x:c r="O285" s="14" t="str">
        <x:v>FX100Keys.sol / Config.sol / registry-v0.3.2.json</x:v>
      </x:c>
    </x:row>
    <x:row r="286">
      <x:c r="A286" s="16" t="n">
        <x:v>285</x:v>
      </x:c>
      <x:c r="B286" s="14" t="str">
        <x:v>派生 Key</x:v>
      </x:c>
      <x:c r="C286" s="14" t="str">
        <x:v>thresholdForDecreaseFundingKey</x:v>
      </x:c>
      <x:c r="D286" s="14" t="str">
        <x:v>THRESHOLD_FOR_DECREASE_FUNDING</x:v>
      </x:c>
      <x:c r="E286" s="14" t="str">
        <x:v>THRESHOLD_FOR_DECREASE_FUNDING</x:v>
      </x:c>
      <x:c r="F286" s="14" t="str"/>
      <x:c r="G286" s="14" t="str">
        <x:v>keccak256(abi.encode(BASE,...args))</x:v>
      </x:c>
      <x:c r="H286" s="14" t="str">
        <x:v>uint256 marketIndex [market]</x:v>
      </x:c>
      <x:c r="I286" s="14" t="str"/>
      <x:c r="J286" s="14" t="str">
        <x:v>market</x:v>
      </x:c>
      <x:c r="K286" s="16" t="str">
        <x:v>是</x:v>
      </x:c>
      <x:c r="L286" s="16" t="str">
        <x:v>否</x:v>
      </x:c>
      <x:c r="M286" s="14" t="str">
        <x:v>Config(CONFIG_KEEPER)</x:v>
      </x:c>
      <x:c r="N286" s="14" t="str">
        <x:v>沿用/见变更表</x:v>
      </x:c>
      <x:c r="O286" s="14" t="str">
        <x:v>FX100Keys.sol / Config.sol / registry-v0.3.2.json</x:v>
      </x:c>
    </x:row>
    <x:row r="287">
      <x:c r="A287" s="16" t="n">
        <x:v>286</x:v>
      </x:c>
      <x:c r="B287" s="14" t="str">
        <x:v>派生 Key</x:v>
      </x:c>
      <x:c r="C287" s="14" t="str">
        <x:v>negativeFundingFeePerSizeKey</x:v>
      </x:c>
      <x:c r="D287" s="14" t="str">
        <x:v>NEGATIVE_FUNDING_FEE_PER_SIZE</x:v>
      </x:c>
      <x:c r="E287" s="14" t="str">
        <x:v>NEGATIVE_FUNDING_FEE_PER_SIZE</x:v>
      </x:c>
      <x:c r="F287" s="14" t="str"/>
      <x:c r="G287" s="14" t="str">
        <x:v>keccak256(abi.encode(BASE,...args))</x:v>
      </x:c>
      <x:c r="H287" s="14" t="str">
        <x:v>uint256 marketIndex [market], bool isLong [bool]</x:v>
      </x:c>
      <x:c r="I287" s="14" t="str">
        <x:v>uint</x:v>
      </x:c>
      <x:c r="J287" s="14" t="str">
        <x:v>market + bool</x:v>
      </x:c>
      <x:c r="K287" s="16" t="str">
        <x:v>否</x:v>
      </x:c>
      <x:c r="L287" s="16" t="str">
        <x:v>否</x:v>
      </x:c>
      <x:c r="M287" s="14" t="str">
        <x:v>DataStore 直写(CONTROLLER)</x:v>
      </x:c>
      <x:c r="N287" s="14" t="str">
        <x:v>沿用/见变更表</x:v>
      </x:c>
      <x:c r="O287" s="14" t="str">
        <x:v>FX100Keys.sol / Config.sol / registry-v0.3.2.json</x:v>
      </x:c>
    </x:row>
    <x:row r="288">
      <x:c r="A288" s="16" t="n">
        <x:v>287</x:v>
      </x:c>
      <x:c r="B288" s="14" t="str">
        <x:v>派生 Key</x:v>
      </x:c>
      <x:c r="C288" s="14" t="str">
        <x:v>positiveFundingFeePerSizeKey</x:v>
      </x:c>
      <x:c r="D288" s="14" t="str">
        <x:v>POSITIVE_FUNDING_FEE_PER_SIZE</x:v>
      </x:c>
      <x:c r="E288" s="14" t="str">
        <x:v>POSITIVE_FUNDING_FEE_PER_SIZE</x:v>
      </x:c>
      <x:c r="F288" s="14" t="str"/>
      <x:c r="G288" s="14" t="str">
        <x:v>keccak256(abi.encode(BASE,...args))</x:v>
      </x:c>
      <x:c r="H288" s="14" t="str">
        <x:v>uint256 marketIndex [market], bool isLong [bool]</x:v>
      </x:c>
      <x:c r="I288" s="14" t="str">
        <x:v>uint</x:v>
      </x:c>
      <x:c r="J288" s="14" t="str">
        <x:v>market + bool</x:v>
      </x:c>
      <x:c r="K288" s="16" t="str">
        <x:v>否</x:v>
      </x:c>
      <x:c r="L288" s="16" t="str">
        <x:v>否</x:v>
      </x:c>
      <x:c r="M288" s="14" t="str">
        <x:v>DataStore 直写(CONTROLLER)</x:v>
      </x:c>
      <x:c r="N288" s="14" t="str">
        <x:v>沿用/见变更表</x:v>
      </x:c>
      <x:c r="O288" s="14" t="str">
        <x:v>FX100Keys.sol / Config.sol / registry-v0.3.2.json</x:v>
      </x:c>
    </x:row>
    <x:row r="289">
      <x:c r="A289" s="16" t="n">
        <x:v>288</x:v>
      </x:c>
      <x:c r="B289" s="14" t="str">
        <x:v>派生 Key</x:v>
      </x:c>
      <x:c r="C289" s="14" t="str">
        <x:v>fundingUpdatedAtKey</x:v>
      </x:c>
      <x:c r="D289" s="14" t="str">
        <x:v>FUNDING_UPDATED_AT</x:v>
      </x:c>
      <x:c r="E289" s="14" t="str">
        <x:v>FUNDING_UPDATED_AT</x:v>
      </x:c>
      <x:c r="F289" s="14" t="str"/>
      <x:c r="G289" s="14" t="str">
        <x:v>keccak256(abi.encode(BASE,...args))</x:v>
      </x:c>
      <x:c r="H289" s="14" t="str">
        <x:v>uint256 marketIndex [market]</x:v>
      </x:c>
      <x:c r="I289" s="14" t="str">
        <x:v>uint</x:v>
      </x:c>
      <x:c r="J289" s="14" t="str">
        <x:v>market</x:v>
      </x:c>
      <x:c r="K289" s="16" t="str">
        <x:v>否</x:v>
      </x:c>
      <x:c r="L289" s="16" t="str">
        <x:v>否</x:v>
      </x:c>
      <x:c r="M289" s="14" t="str">
        <x:v>DataStore 直写(CONTROLLER)</x:v>
      </x:c>
      <x:c r="N289" s="14" t="str">
        <x:v>沿用/见变更表</x:v>
      </x:c>
      <x:c r="O289" s="14" t="str">
        <x:v>FX100Keys.sol / Config.sol / registry-v0.3.2.json</x:v>
      </x:c>
    </x:row>
    <x:row r="290">
      <x:c r="A290" s="16" t="n">
        <x:v>289</x:v>
      </x:c>
      <x:c r="B290" s="14" t="str">
        <x:v>派生 Key</x:v>
      </x:c>
      <x:c r="C290" s="14" t="str">
        <x:v>optimalUsageFactorKey</x:v>
      </x:c>
      <x:c r="D290" s="14" t="str">
        <x:v>OPTIMAL_USAGE_FACTOR</x:v>
      </x:c>
      <x:c r="E290" s="14" t="str">
        <x:v>OPTIMAL_USAGE_FACTOR</x:v>
      </x:c>
      <x:c r="F290" s="14" t="str"/>
      <x:c r="G290" s="14" t="str">
        <x:v>keccak256(abi.encode(BASE,...args))</x:v>
      </x:c>
      <x:c r="H290" s="14" t="str">
        <x:v>uint256 marketIndex [market], bool isLong [bool]</x:v>
      </x:c>
      <x:c r="I290" s="14" t="str"/>
      <x:c r="J290" s="14" t="str">
        <x:v>market + bool</x:v>
      </x:c>
      <x:c r="K290" s="16" t="str">
        <x:v>是</x:v>
      </x:c>
      <x:c r="L290" s="16" t="str">
        <x:v>否</x:v>
      </x:c>
      <x:c r="M290" s="14" t="str">
        <x:v>Config(CONFIG_KEEPER)</x:v>
      </x:c>
      <x:c r="N290" s="14" t="str">
        <x:v>沿用/见变更表</x:v>
      </x:c>
      <x:c r="O290" s="14" t="str">
        <x:v>FX100Keys.sol / Config.sol / registry-v0.3.2.json</x:v>
      </x:c>
    </x:row>
    <x:row r="291">
      <x:c r="A291" s="16" t="n">
        <x:v>290</x:v>
      </x:c>
      <x:c r="B291" s="14" t="str">
        <x:v>派生 Key</x:v>
      </x:c>
      <x:c r="C291" s="14" t="str">
        <x:v>baseBorrowingFactorKey</x:v>
      </x:c>
      <x:c r="D291" s="14" t="str">
        <x:v>BASE_BORROWING_FACTOR</x:v>
      </x:c>
      <x:c r="E291" s="14" t="str">
        <x:v>BASE_BORROWING_FACTOR</x:v>
      </x:c>
      <x:c r="F291" s="14" t="str"/>
      <x:c r="G291" s="14" t="str">
        <x:v>keccak256(abi.encode(BASE,...args))</x:v>
      </x:c>
      <x:c r="H291" s="14" t="str">
        <x:v>uint256 marketIndex [market], bool isLong [bool]</x:v>
      </x:c>
      <x:c r="I291" s="14" t="str"/>
      <x:c r="J291" s="14" t="str">
        <x:v>market + bool</x:v>
      </x:c>
      <x:c r="K291" s="16" t="str">
        <x:v>是</x:v>
      </x:c>
      <x:c r="L291" s="16" t="str">
        <x:v>否</x:v>
      </x:c>
      <x:c r="M291" s="14" t="str">
        <x:v>Config(CONFIG_KEEPER)</x:v>
      </x:c>
      <x:c r="N291" s="14" t="str">
        <x:v>沿用/见变更表</x:v>
      </x:c>
      <x:c r="O291" s="14" t="str">
        <x:v>FX100Keys.sol / Config.sol / registry-v0.3.2.json</x:v>
      </x:c>
    </x:row>
    <x:row r="292">
      <x:c r="A292" s="16" t="n">
        <x:v>291</x:v>
      </x:c>
      <x:c r="B292" s="14" t="str">
        <x:v>派生 Key</x:v>
      </x:c>
      <x:c r="C292" s="14" t="str">
        <x:v>aboveOptimalUsageBorrowingFactorKey</x:v>
      </x:c>
      <x:c r="D292" s="14" t="str">
        <x:v>ABOVE_OPTIMAL_USAGE_BORROWING_FACTOR</x:v>
      </x:c>
      <x:c r="E292" s="14" t="str">
        <x:v>ABOVE_OPTIMAL_USAGE_BORROWING_FACTOR</x:v>
      </x:c>
      <x:c r="F292" s="14" t="str"/>
      <x:c r="G292" s="14" t="str">
        <x:v>keccak256(abi.encode(BASE,...args))</x:v>
      </x:c>
      <x:c r="H292" s="14" t="str">
        <x:v>uint256 marketIndex [market], bool isLong [bool]</x:v>
      </x:c>
      <x:c r="I292" s="14" t="str"/>
      <x:c r="J292" s="14" t="str">
        <x:v>market + bool</x:v>
      </x:c>
      <x:c r="K292" s="16" t="str">
        <x:v>是</x:v>
      </x:c>
      <x:c r="L292" s="16" t="str">
        <x:v>否</x:v>
      </x:c>
      <x:c r="M292" s="14" t="str">
        <x:v>Config(CONFIG_KEEPER)</x:v>
      </x:c>
      <x:c r="N292" s="14" t="str">
        <x:v>沿用/见变更表</x:v>
      </x:c>
      <x:c r="O292" s="14" t="str">
        <x:v>FX100Keys.sol / Config.sol / registry-v0.3.2.json</x:v>
      </x:c>
    </x:row>
    <x:row r="293">
      <x:c r="A293" s="16" t="n">
        <x:v>292</x:v>
      </x:c>
      <x:c r="B293" s="14" t="str">
        <x:v>派生 Key</x:v>
      </x:c>
      <x:c r="C293" s="14" t="str">
        <x:v>borrowingFactorKey</x:v>
      </x:c>
      <x:c r="D293" s="14" t="str">
        <x:v>BORROWING_FACTOR</x:v>
      </x:c>
      <x:c r="E293" s="14" t="str">
        <x:v>BORROWING_FACTOR</x:v>
      </x:c>
      <x:c r="F293" s="14" t="str"/>
      <x:c r="G293" s="14" t="str">
        <x:v>keccak256(abi.encode(BASE,...args))</x:v>
      </x:c>
      <x:c r="H293" s="14" t="str">
        <x:v>uint256 marketIndex [market], bool isLong [bool]</x:v>
      </x:c>
      <x:c r="I293" s="14" t="str"/>
      <x:c r="J293" s="14" t="str">
        <x:v>market + bool</x:v>
      </x:c>
      <x:c r="K293" s="16" t="str">
        <x:v>是</x:v>
      </x:c>
      <x:c r="L293" s="16" t="str">
        <x:v>否</x:v>
      </x:c>
      <x:c r="M293" s="14" t="str">
        <x:v>Config(CONFIG_KEEPER)</x:v>
      </x:c>
      <x:c r="N293" s="14" t="str">
        <x:v>沿用/见变更表</x:v>
      </x:c>
      <x:c r="O293" s="14" t="str">
        <x:v>FX100Keys.sol / Config.sol / registry-v0.3.2.json</x:v>
      </x:c>
    </x:row>
    <x:row r="294">
      <x:c r="A294" s="16" t="n">
        <x:v>293</x:v>
      </x:c>
      <x:c r="B294" s="14" t="str">
        <x:v>派生 Key</x:v>
      </x:c>
      <x:c r="C294" s="14" t="str">
        <x:v>borrowingExponentFactorKey</x:v>
      </x:c>
      <x:c r="D294" s="14" t="str">
        <x:v>BORROWING_EXPONENT_FACTOR</x:v>
      </x:c>
      <x:c r="E294" s="14" t="str">
        <x:v>BORROWING_EXPONENT_FACTOR</x:v>
      </x:c>
      <x:c r="F294" s="14" t="str"/>
      <x:c r="G294" s="14" t="str">
        <x:v>keccak256(abi.encode(BASE,...args))</x:v>
      </x:c>
      <x:c r="H294" s="14" t="str">
        <x:v>uint256 marketIndex [market], bool isLong [bool]</x:v>
      </x:c>
      <x:c r="I294" s="14" t="str"/>
      <x:c r="J294" s="14" t="str">
        <x:v>market + bool</x:v>
      </x:c>
      <x:c r="K294" s="16" t="str">
        <x:v>是</x:v>
      </x:c>
      <x:c r="L294" s="16" t="str">
        <x:v>否</x:v>
      </x:c>
      <x:c r="M294" s="14" t="str">
        <x:v>Config(CONFIG_KEEPER)</x:v>
      </x:c>
      <x:c r="N294" s="14" t="str">
        <x:v>沿用/见变更表</x:v>
      </x:c>
      <x:c r="O294" s="14" t="str">
        <x:v>FX100Keys.sol / Config.sol / registry-v0.3.2.json</x:v>
      </x:c>
    </x:row>
    <x:row r="295">
      <x:c r="A295" s="16" t="n">
        <x:v>294</x:v>
      </x:c>
      <x:c r="B295" s="14" t="str">
        <x:v>派生 Key</x:v>
      </x:c>
      <x:c r="C295" s="14" t="str">
        <x:v>cumulativeBorrowingFactorKey</x:v>
      </x:c>
      <x:c r="D295" s="14" t="str">
        <x:v>CUMULATIVE_BORROWING_FACTOR</x:v>
      </x:c>
      <x:c r="E295" s="14" t="str">
        <x:v>CUMULATIVE_BORROWING_FACTOR</x:v>
      </x:c>
      <x:c r="F295" s="14" t="str"/>
      <x:c r="G295" s="14" t="str">
        <x:v>keccak256(abi.encode(BASE,...args))</x:v>
      </x:c>
      <x:c r="H295" s="14" t="str">
        <x:v>uint256 marketIndex [market], bool isLong [bool]</x:v>
      </x:c>
      <x:c r="I295" s="14" t="str"/>
      <x:c r="J295" s="14" t="str">
        <x:v>market + bool</x:v>
      </x:c>
      <x:c r="K295" s="16" t="str">
        <x:v>否</x:v>
      </x:c>
      <x:c r="L295" s="16" t="str">
        <x:v>否</x:v>
      </x:c>
      <x:c r="M295" s="14" t="str">
        <x:v>DataStore 直写(CONTROLLER)</x:v>
      </x:c>
      <x:c r="N295" s="14" t="str">
        <x:v>沿用/见变更表</x:v>
      </x:c>
      <x:c r="O295" s="14" t="str">
        <x:v>FX100Keys.sol / Config.sol / registry-v0.3.2.json</x:v>
      </x:c>
    </x:row>
    <x:row r="296">
      <x:c r="A296" s="16" t="n">
        <x:v>295</x:v>
      </x:c>
      <x:c r="B296" s="14" t="str">
        <x:v>派生 Key</x:v>
      </x:c>
      <x:c r="C296" s="14" t="str">
        <x:v>cumulativeBorrowingFactorUpdatedAtKey</x:v>
      </x:c>
      <x:c r="D296" s="14" t="str">
        <x:v>CUMULATIVE_BORROWING_FACTOR_UPDATED_AT</x:v>
      </x:c>
      <x:c r="E296" s="14" t="str">
        <x:v>CUMULATIVE_BORROWING_FACTOR_UPDATED_AT</x:v>
      </x:c>
      <x:c r="F296" s="14" t="str"/>
      <x:c r="G296" s="14" t="str">
        <x:v>keccak256(abi.encode(BASE,...args))</x:v>
      </x:c>
      <x:c r="H296" s="14" t="str">
        <x:v>uint256 marketIndex [market], bool isLong [bool]</x:v>
      </x:c>
      <x:c r="I296" s="14" t="str"/>
      <x:c r="J296" s="14" t="str">
        <x:v>market + bool</x:v>
      </x:c>
      <x:c r="K296" s="16" t="str">
        <x:v>否</x:v>
      </x:c>
      <x:c r="L296" s="16" t="str">
        <x:v>否</x:v>
      </x:c>
      <x:c r="M296" s="14" t="str">
        <x:v>DataStore 直写(CONTROLLER)</x:v>
      </x:c>
      <x:c r="N296" s="14" t="str">
        <x:v>沿用/见变更表</x:v>
      </x:c>
      <x:c r="O296" s="14" t="str">
        <x:v>FX100Keys.sol / Config.sol / registry-v0.3.2.json</x:v>
      </x:c>
    </x:row>
    <x:row r="297">
      <x:c r="A297" s="16" t="n">
        <x:v>296</x:v>
      </x:c>
      <x:c r="B297" s="14" t="str">
        <x:v>派生 Key</x:v>
      </x:c>
      <x:c r="C297" s="14" t="str">
        <x:v>totalBorrowingKey</x:v>
      </x:c>
      <x:c r="D297" s="14" t="str">
        <x:v>TOTAL_BORROWING</x:v>
      </x:c>
      <x:c r="E297" s="14" t="str">
        <x:v>TOTAL_BORROWING</x:v>
      </x:c>
      <x:c r="F297" s="14" t="str"/>
      <x:c r="G297" s="14" t="str">
        <x:v>keccak256(abi.encode(BASE,...args))</x:v>
      </x:c>
      <x:c r="H297" s="14" t="str">
        <x:v>uint256 marketIndex [market], bool isLong [bool]</x:v>
      </x:c>
      <x:c r="I297" s="14" t="str"/>
      <x:c r="J297" s="14" t="str">
        <x:v>market + bool</x:v>
      </x:c>
      <x:c r="K297" s="16" t="str">
        <x:v>否</x:v>
      </x:c>
      <x:c r="L297" s="16" t="str">
        <x:v>否</x:v>
      </x:c>
      <x:c r="M297" s="14" t="str">
        <x:v>DataStore 直写(CONTROLLER)</x:v>
      </x:c>
      <x:c r="N297" s="14" t="str">
        <x:v>沿用/见变更表</x:v>
      </x:c>
      <x:c r="O297" s="14" t="str">
        <x:v>FX100Keys.sol / Config.sol / registry-v0.3.2.json</x:v>
      </x:c>
    </x:row>
    <x:row r="298">
      <x:c r="A298" s="16" t="n">
        <x:v>297</x:v>
      </x:c>
      <x:c r="B298" s="14" t="str">
        <x:v>派生 Key</x:v>
      </x:c>
      <x:c r="C298" s="14" t="str">
        <x:v>affiliateRewardKey</x:v>
      </x:c>
      <x:c r="D298" s="14" t="str">
        <x:v>AFFILIATE_REWARD</x:v>
      </x:c>
      <x:c r="E298" s="14" t="str">
        <x:v>AFFILIATE_REWARD</x:v>
      </x:c>
      <x:c r="F298" s="14" t="str"/>
      <x:c r="G298" s="14" t="str">
        <x:v>keccak256(abi.encode(BASE,...args))</x:v>
      </x:c>
      <x:c r="H298" s="14" t="str">
        <x:v>uint256 marketIndex [market], address token [token]</x:v>
      </x:c>
      <x:c r="I298" s="14" t="str"/>
      <x:c r="J298" s="14" t="str">
        <x:v>market + token</x:v>
      </x:c>
      <x:c r="K298" s="16" t="str">
        <x:v>否</x:v>
      </x:c>
      <x:c r="L298" s="16" t="str">
        <x:v>否</x:v>
      </x:c>
      <x:c r="M298" s="14" t="str">
        <x:v>DataStore 直写(CONTROLLER)</x:v>
      </x:c>
      <x:c r="N298" s="14" t="str">
        <x:v>沿用/见变更表</x:v>
      </x:c>
      <x:c r="O298" s="14" t="str">
        <x:v>FX100Keys.sol / Config.sol / registry-v0.3.2.json</x:v>
      </x:c>
    </x:row>
    <x:row r="299">
      <x:c r="A299" s="16" t="n">
        <x:v>298</x:v>
      </x:c>
      <x:c r="B299" s="14" t="str">
        <x:v>派生 Key</x:v>
      </x:c>
      <x:c r="C299" s="14" t="str">
        <x:v>accountDepositListKey</x:v>
      </x:c>
      <x:c r="D299" s="14" t="str">
        <x:v>ACCOUNT_DEPOSIT_LIST</x:v>
      </x:c>
      <x:c r="E299" s="14" t="str">
        <x:v>ACCOUNT_DEPOSIT_LIST</x:v>
      </x:c>
      <x:c r="F299" s="14" t="str"/>
      <x:c r="G299" s="14" t="str">
        <x:v>keccak256(abi.encode(BASE,...args))</x:v>
      </x:c>
      <x:c r="H299" s="14" t="str">
        <x:v>address account [account]</x:v>
      </x:c>
      <x:c r="I299" s="14" t="str"/>
      <x:c r="J299" s="14" t="str">
        <x:v>account</x:v>
      </x:c>
      <x:c r="K299" s="16" t="str">
        <x:v>否</x:v>
      </x:c>
      <x:c r="L299" s="16" t="str">
        <x:v>否</x:v>
      </x:c>
      <x:c r="M299" s="14" t="str">
        <x:v>DataStore 直写(CONTROLLER)</x:v>
      </x:c>
      <x:c r="N299" s="14" t="str">
        <x:v>沿用/见变更表</x:v>
      </x:c>
      <x:c r="O299" s="14" t="str">
        <x:v>FX100Keys.sol / Config.sol / registry-v0.3.2.json</x:v>
      </x:c>
    </x:row>
    <x:row r="300">
      <x:c r="A300" s="16" t="n">
        <x:v>299</x:v>
      </x:c>
      <x:c r="B300" s="14" t="str">
        <x:v>派生 Key</x:v>
      </x:c>
      <x:c r="C300" s="14" t="str">
        <x:v>accountWithdrawalListKey</x:v>
      </x:c>
      <x:c r="D300" s="14" t="str">
        <x:v>ACCOUNT_WITHDRAWAL_LIST</x:v>
      </x:c>
      <x:c r="E300" s="14" t="str">
        <x:v>ACCOUNT_WITHDRAWAL_LIST</x:v>
      </x:c>
      <x:c r="F300" s="14" t="str"/>
      <x:c r="G300" s="14" t="str">
        <x:v>keccak256(abi.encode(BASE,...args))</x:v>
      </x:c>
      <x:c r="H300" s="14" t="str">
        <x:v>address account [account]</x:v>
      </x:c>
      <x:c r="I300" s="14" t="str"/>
      <x:c r="J300" s="14" t="str">
        <x:v>account</x:v>
      </x:c>
      <x:c r="K300" s="16" t="str">
        <x:v>否</x:v>
      </x:c>
      <x:c r="L300" s="16" t="str">
        <x:v>否</x:v>
      </x:c>
      <x:c r="M300" s="14" t="str">
        <x:v>DataStore 直写(CONTROLLER)</x:v>
      </x:c>
      <x:c r="N300" s="14" t="str">
        <x:v>沿用/见变更表</x:v>
      </x:c>
      <x:c r="O300" s="14" t="str">
        <x:v>FX100Keys.sol / Config.sol / registry-v0.3.2.json</x:v>
      </x:c>
    </x:row>
    <x:row r="301">
      <x:c r="A301" s="16" t="n">
        <x:v>300</x:v>
      </x:c>
      <x:c r="B301" s="14" t="str">
        <x:v>派生 Key</x:v>
      </x:c>
      <x:c r="C301" s="14" t="str">
        <x:v>subaccountSlotKey</x:v>
      </x:c>
      <x:c r="D301" s="14" t="str">
        <x:v>SUBACCOUNT_SLOT</x:v>
      </x:c>
      <x:c r="E301" s="14" t="str">
        <x:v>SUBACCOUNT_SLOT</x:v>
      </x:c>
      <x:c r="F301" s="14" t="str"/>
      <x:c r="G301" s="14" t="str">
        <x:v>keccak256(abi.encode(BASE,...args))</x:v>
      </x:c>
      <x:c r="H301" s="14" t="str">
        <x:v>address account [account], uint256 index</x:v>
      </x:c>
      <x:c r="I301" s="14" t="str">
        <x:v>string</x:v>
      </x:c>
      <x:c r="J301" s="14" t="str">
        <x:v>account + index</x:v>
      </x:c>
      <x:c r="K301" s="16" t="str">
        <x:v>否</x:v>
      </x:c>
      <x:c r="L301" s="16" t="str">
        <x:v>否</x:v>
      </x:c>
      <x:c r="M301" s="14" t="str">
        <x:v>DataStore 直写(CONTROLLER)</x:v>
      </x:c>
      <x:c r="N301" s="14" t="str">
        <x:v>v0.3.2 新增</x:v>
      </x:c>
      <x:c r="O301" s="14" t="str">
        <x:v>FX100Keys.sol / Config.sol / registry-v0.3.2.json</x:v>
      </x:c>
    </x:row>
    <x:row r="302">
      <x:c r="A302" s="16" t="n">
        <x:v>301</x:v>
      </x:c>
      <x:c r="B302" s="14" t="str">
        <x:v>派生 Key</x:v>
      </x:c>
      <x:c r="C302" s="14" t="str">
        <x:v>subaccountSlotSubaccountKey</x:v>
      </x:c>
      <x:c r="D302" s="14" t="str">
        <x:v>SUBACCOUNT_SLOT_SUBACCOUNT</x:v>
      </x:c>
      <x:c r="E302" s="14" t="str">
        <x:v>SUBACCOUNT_SLOT_SUBACCOUNT</x:v>
      </x:c>
      <x:c r="F302" s="14" t="str"/>
      <x:c r="G302" s="14" t="str">
        <x:v>keccak256(abi.encode(BASE,...args))</x:v>
      </x:c>
      <x:c r="H302" s="14" t="str">
        <x:v>address account [account], uint256 index</x:v>
      </x:c>
      <x:c r="I302" s="14" t="str">
        <x:v>address</x:v>
      </x:c>
      <x:c r="J302" s="14" t="str">
        <x:v>account + index</x:v>
      </x:c>
      <x:c r="K302" s="16" t="str">
        <x:v>否</x:v>
      </x:c>
      <x:c r="L302" s="16" t="str">
        <x:v>否</x:v>
      </x:c>
      <x:c r="M302" s="14" t="str">
        <x:v>DataStore 直写(CONTROLLER)</x:v>
      </x:c>
      <x:c r="N302" s="14" t="str">
        <x:v>v0.3.2 新增</x:v>
      </x:c>
      <x:c r="O302" s="14" t="str">
        <x:v>FX100Keys.sol / Config.sol / registry-v0.3.2.json</x:v>
      </x:c>
    </x:row>
    <x:row r="303">
      <x:c r="A303" s="16" t="n">
        <x:v>302</x:v>
      </x:c>
      <x:c r="B303" s="14" t="str">
        <x:v>派生 Key</x:v>
      </x:c>
      <x:c r="C303" s="14" t="str">
        <x:v>subaccountSlotActiveKey</x:v>
      </x:c>
      <x:c r="D303" s="14" t="str">
        <x:v>SUBACCOUNT_SLOT_ACTIVE</x:v>
      </x:c>
      <x:c r="E303" s="14" t="str">
        <x:v>SUBACCOUNT_SLOT_ACTIVE</x:v>
      </x:c>
      <x:c r="F303" s="14" t="str"/>
      <x:c r="G303" s="14" t="str">
        <x:v>keccak256(abi.encode(BASE,...args))</x:v>
      </x:c>
      <x:c r="H303" s="14" t="str">
        <x:v>address account [account], uint256 index</x:v>
      </x:c>
      <x:c r="I303" s="14" t="str">
        <x:v>bool</x:v>
      </x:c>
      <x:c r="J303" s="14" t="str">
        <x:v>account + index</x:v>
      </x:c>
      <x:c r="K303" s="16" t="str">
        <x:v>否</x:v>
      </x:c>
      <x:c r="L303" s="16" t="str">
        <x:v>否</x:v>
      </x:c>
      <x:c r="M303" s="14" t="str">
        <x:v>DataStore 直写(CONTROLLER)</x:v>
      </x:c>
      <x:c r="N303" s="14" t="str">
        <x:v>v0.3.2 新增</x:v>
      </x:c>
      <x:c r="O303" s="14" t="str">
        <x:v>FX100Keys.sol / Config.sol / registry-v0.3.2.json</x:v>
      </x:c>
    </x:row>
    <x:row r="304">
      <x:c r="A304" s="16" t="n">
        <x:v>303</x:v>
      </x:c>
      <x:c r="B304" s="14" t="str">
        <x:v>派生 Key</x:v>
      </x:c>
      <x:c r="C304" s="14" t="str">
        <x:v>autoCancelOrderListKey</x:v>
      </x:c>
      <x:c r="D304" s="14" t="str">
        <x:v>AUTO_CANCEL_ORDER_LIST</x:v>
      </x:c>
      <x:c r="E304" s="14" t="str">
        <x:v>AUTO_CANCEL_ORDER_LIST</x:v>
      </x:c>
      <x:c r="F304" s="14" t="str"/>
      <x:c r="G304" s="14" t="str">
        <x:v>keccak256(abi.encode(BASE,...args))</x:v>
      </x:c>
      <x:c r="H304" s="14" t="str">
        <x:v>bytes32 positionKey [positionKey]</x:v>
      </x:c>
      <x:c r="I304" s="14" t="str">
        <x:v>bytes32</x:v>
      </x:c>
      <x:c r="J304" s="14" t="str">
        <x:v>positionKey</x:v>
      </x:c>
      <x:c r="K304" s="16" t="str">
        <x:v>否</x:v>
      </x:c>
      <x:c r="L304" s="16" t="str">
        <x:v>否</x:v>
      </x:c>
      <x:c r="M304" s="14" t="str">
        <x:v>DataStore 直写(CONTROLLER)</x:v>
      </x:c>
      <x:c r="N304" s="14" t="str">
        <x:v>沿用/见变更表</x:v>
      </x:c>
      <x:c r="O304" s="14" t="str">
        <x:v>FX100Keys.sol / Config.sol / registry-v0.3.2.json</x:v>
      </x:c>
    </x:row>
    <x:row r="305">
      <x:c r="A305" s="16" t="n">
        <x:v>304</x:v>
      </x:c>
      <x:c r="B305" s="14" t="str">
        <x:v>派生 Key</x:v>
      </x:c>
      <x:c r="C305" s="14" t="str">
        <x:v>claimableFeeAmountKey</x:v>
      </x:c>
      <x:c r="D305" s="14" t="str">
        <x:v>CLAIMABLE_FEE_AMOUNT</x:v>
      </x:c>
      <x:c r="E305" s="14" t="str">
        <x:v>CLAIMABLE_FEE_AMOUNT</x:v>
      </x:c>
      <x:c r="F305" s="14" t="str"/>
      <x:c r="G305" s="14" t="str">
        <x:v>keccak256(abi.encode(BASE,...args))</x:v>
      </x:c>
      <x:c r="H305" s="14" t="str">
        <x:v>uint256 marketIndex [market], address token [token], bytes32 feeType [feeType]</x:v>
      </x:c>
      <x:c r="I305" s="14" t="str">
        <x:v>uint</x:v>
      </x:c>
      <x:c r="J305" s="14" t="str">
        <x:v>market + token + feeType</x:v>
      </x:c>
      <x:c r="K305" s="16" t="str">
        <x:v>否</x:v>
      </x:c>
      <x:c r="L305" s="16" t="str">
        <x:v>否</x:v>
      </x:c>
      <x:c r="M305" s="14" t="str">
        <x:v>DataStore 直写(CONTROLLER)</x:v>
      </x:c>
      <x:c r="N305" s="14" t="str">
        <x:v>沿用/见变更表</x:v>
      </x:c>
      <x:c r="O305" s="14" t="str">
        <x:v>FX100Keys.sol / Config.sol / registry-v0.3.2.json</x:v>
      </x:c>
    </x:row>
    <x:row r="306">
      <x:c r="A306" s="16" t="n">
        <x:v>305</x:v>
      </x:c>
      <x:c r="B306" s="14" t="str">
        <x:v>派生 Key</x:v>
      </x:c>
      <x:c r="C306" s="14" t="str">
        <x:v>claimableUiFeeAmountKey</x:v>
      </x:c>
      <x:c r="D306" s="14" t="str">
        <x:v>CLAIMABLE_UI_FEE_AMOUNT</x:v>
      </x:c>
      <x:c r="E306" s="14" t="str">
        <x:v>CLAIMABLE_UI_FEE_AMOUNT</x:v>
      </x:c>
      <x:c r="F306" s="14" t="str"/>
      <x:c r="G306" s="14" t="str">
        <x:v>keccak256(abi.encode(BASE,...args))</x:v>
      </x:c>
      <x:c r="H306" s="14" t="str">
        <x:v>uint256 marketIndex [market], address token [token]</x:v>
      </x:c>
      <x:c r="I306" s="14" t="str"/>
      <x:c r="J306" s="14" t="str">
        <x:v>market + token</x:v>
      </x:c>
      <x:c r="K306" s="16" t="str">
        <x:v>否</x:v>
      </x:c>
      <x:c r="L306" s="16" t="str">
        <x:v>否</x:v>
      </x:c>
      <x:c r="M306" s="14" t="str">
        <x:v>DataStore 直写(CONTROLLER)</x:v>
      </x:c>
      <x:c r="N306" s="14" t="str">
        <x:v>沿用/见变更表</x:v>
      </x:c>
      <x:c r="O306" s="14" t="str">
        <x:v>FX100Keys.sol / Config.sol / registry-v0.3.2.json</x:v>
      </x:c>
    </x:row>
    <x:row r="307">
      <x:c r="A307" s="16" t="n">
        <x:v>306</x:v>
      </x:c>
      <x:c r="B307" s="14" t="str">
        <x:v>派生 Key</x:v>
      </x:c>
      <x:c r="C307" s="14" t="str">
        <x:v>claimableUiFeeAmountKey</x:v>
      </x:c>
      <x:c r="D307" s="14" t="str">
        <x:v>CLAIMABLE_UI_FEE_AMOUNT</x:v>
      </x:c>
      <x:c r="E307" s="14" t="str">
        <x:v>CLAIMABLE_UI_FEE_AMOUNT</x:v>
      </x:c>
      <x:c r="F307" s="14" t="str"/>
      <x:c r="G307" s="14" t="str">
        <x:v>keccak256(abi.encode(BASE,...args))</x:v>
      </x:c>
      <x:c r="H307" s="14" t="str">
        <x:v>uint256 marketIndex [market], address token [token], address account [account]</x:v>
      </x:c>
      <x:c r="I307" s="14" t="str"/>
      <x:c r="J307" s="14" t="str">
        <x:v>market + token + account</x:v>
      </x:c>
      <x:c r="K307" s="16" t="str">
        <x:v>否</x:v>
      </x:c>
      <x:c r="L307" s="16" t="str">
        <x:v>否</x:v>
      </x:c>
      <x:c r="M307" s="14" t="str">
        <x:v>DataStore 直写(CONTROLLER)</x:v>
      </x:c>
      <x:c r="N307" s="14" t="str">
        <x:v>沿用/见变更表</x:v>
      </x:c>
      <x:c r="O307" s="14" t="str">
        <x:v>FX100Keys.sol / Config.sol / registry-v0.3.2.json</x:v>
      </x:c>
    </x:row>
    <x:row r="308">
      <x:c r="A308" s="16" t="n">
        <x:v>307</x:v>
      </x:c>
      <x:c r="B308" s="14" t="str">
        <x:v>派生 Key</x:v>
      </x:c>
      <x:c r="C308" s="14" t="str">
        <x:v>depositGasLimitKey</x:v>
      </x:c>
      <x:c r="D308" s="14" t="str">
        <x:v>DEPOSIT_GAS_LIMIT</x:v>
      </x:c>
      <x:c r="E308" s="14" t="str">
        <x:v>DEPOSIT_GAS_LIMIT</x:v>
      </x:c>
      <x:c r="F308" s="14" t="str"/>
      <x:c r="G308" s="14" t="str">
        <x:v>identity</x:v>
      </x:c>
      <x:c r="H308" s="14" t="str"/>
      <x:c r="I308" s="14" t="str"/>
      <x:c r="J308" s="14" t="str">
        <x:v>global</x:v>
      </x:c>
      <x:c r="K308" s="16" t="str">
        <x:v>是</x:v>
      </x:c>
      <x:c r="L308" s="16" t="str">
        <x:v>否</x:v>
      </x:c>
      <x:c r="M308" s="14" t="str">
        <x:v>Config(CONFIG_KEEPER)</x:v>
      </x:c>
      <x:c r="N308" s="14" t="str">
        <x:v>沿用/见变更表</x:v>
      </x:c>
      <x:c r="O308" s="14" t="str">
        <x:v>FX100Keys.sol / Config.sol / registry-v0.3.2.json</x:v>
      </x:c>
    </x:row>
    <x:row r="309">
      <x:c r="A309" s="16" t="n">
        <x:v>308</x:v>
      </x:c>
      <x:c r="B309" s="14" t="str">
        <x:v>派生 Key</x:v>
      </x:c>
      <x:c r="C309" s="14" t="str">
        <x:v>withdrawalGasLimitKey</x:v>
      </x:c>
      <x:c r="D309" s="14" t="str">
        <x:v>WITHDRAWAL_GAS_LIMIT</x:v>
      </x:c>
      <x:c r="E309" s="14" t="str">
        <x:v>WITHDRAWAL_GAS_LIMIT</x:v>
      </x:c>
      <x:c r="F309" s="14" t="str"/>
      <x:c r="G309" s="14" t="str">
        <x:v>identity</x:v>
      </x:c>
      <x:c r="H309" s="14" t="str"/>
      <x:c r="I309" s="14" t="str"/>
      <x:c r="J309" s="14" t="str">
        <x:v>global</x:v>
      </x:c>
      <x:c r="K309" s="16" t="str">
        <x:v>是</x:v>
      </x:c>
      <x:c r="L309" s="16" t="str">
        <x:v>否</x:v>
      </x:c>
      <x:c r="M309" s="14" t="str">
        <x:v>Config(CONFIG_KEEPER)</x:v>
      </x:c>
      <x:c r="N309" s="14" t="str">
        <x:v>沿用/见变更表</x:v>
      </x:c>
      <x:c r="O309" s="14" t="str">
        <x:v>FX100Keys.sol / Config.sol / registry-v0.3.2.json</x:v>
      </x:c>
    </x:row>
    <x:row r="310">
      <x:c r="A310" s="16" t="n">
        <x:v>309</x:v>
      </x:c>
      <x:c r="B310" s="14" t="str">
        <x:v>派生 Key</x:v>
      </x:c>
      <x:c r="C310" s="14" t="str">
        <x:v>singleSwapGasLimitKey</x:v>
      </x:c>
      <x:c r="D310" s="14" t="str">
        <x:v>SINGLE_SWAP_GAS_LIMIT</x:v>
      </x:c>
      <x:c r="E310" s="14" t="str">
        <x:v>SINGLE_SWAP_GAS_LIMIT</x:v>
      </x:c>
      <x:c r="F310" s="14" t="str"/>
      <x:c r="G310" s="14" t="str">
        <x:v>identity</x:v>
      </x:c>
      <x:c r="H310" s="14" t="str"/>
      <x:c r="I310" s="14" t="str"/>
      <x:c r="J310" s="14" t="str">
        <x:v>global</x:v>
      </x:c>
      <x:c r="K310" s="16" t="str">
        <x:v>是</x:v>
      </x:c>
      <x:c r="L310" s="16" t="str">
        <x:v>否</x:v>
      </x:c>
      <x:c r="M310" s="14" t="str">
        <x:v>Config(CONFIG_KEEPER)</x:v>
      </x:c>
      <x:c r="N310" s="14" t="str">
        <x:v>沿用/见变更表</x:v>
      </x:c>
      <x:c r="O310" s="14" t="str">
        <x:v>FX100Keys.sol / Config.sol / registry-v0.3.2.json</x:v>
      </x:c>
    </x:row>
    <x:row r="311">
      <x:c r="A311" s="16" t="n">
        <x:v>310</x:v>
      </x:c>
      <x:c r="B311" s="14" t="str">
        <x:v>派生 Key</x:v>
      </x:c>
      <x:c r="C311" s="14" t="str">
        <x:v>increaseOrderGasLimitKey</x:v>
      </x:c>
      <x:c r="D311" s="14" t="str">
        <x:v>INCREASE_ORDER_GAS_LIMIT</x:v>
      </x:c>
      <x:c r="E311" s="14" t="str">
        <x:v>INCREASE_ORDER_GAS_LIMIT</x:v>
      </x:c>
      <x:c r="F311" s="14" t="str"/>
      <x:c r="G311" s="14" t="str">
        <x:v>identity</x:v>
      </x:c>
      <x:c r="H311" s="14" t="str"/>
      <x:c r="I311" s="14" t="str">
        <x:v>uint</x:v>
      </x:c>
      <x:c r="J311" s="14" t="str">
        <x:v>global</x:v>
      </x:c>
      <x:c r="K311" s="16" t="str">
        <x:v>是</x:v>
      </x:c>
      <x:c r="L311" s="16" t="str">
        <x:v>否</x:v>
      </x:c>
      <x:c r="M311" s="14" t="str">
        <x:v>Config(CONFIG_KEEPER)</x:v>
      </x:c>
      <x:c r="N311" s="14" t="str">
        <x:v>沿用/见变更表</x:v>
      </x:c>
      <x:c r="O311" s="14" t="str">
        <x:v>FX100Keys.sol / Config.sol / registry-v0.3.2.json</x:v>
      </x:c>
    </x:row>
    <x:row r="312">
      <x:c r="A312" s="16" t="n">
        <x:v>311</x:v>
      </x:c>
      <x:c r="B312" s="14" t="str">
        <x:v>派生 Key</x:v>
      </x:c>
      <x:c r="C312" s="14" t="str">
        <x:v>decreaseOrderGasLimitKey</x:v>
      </x:c>
      <x:c r="D312" s="14" t="str">
        <x:v>DECREASE_ORDER_GAS_LIMIT</x:v>
      </x:c>
      <x:c r="E312" s="14" t="str">
        <x:v>DECREASE_ORDER_GAS_LIMIT</x:v>
      </x:c>
      <x:c r="F312" s="14" t="str"/>
      <x:c r="G312" s="14" t="str">
        <x:v>identity</x:v>
      </x:c>
      <x:c r="H312" s="14" t="str"/>
      <x:c r="I312" s="14" t="str">
        <x:v>uint</x:v>
      </x:c>
      <x:c r="J312" s="14" t="str">
        <x:v>global</x:v>
      </x:c>
      <x:c r="K312" s="16" t="str">
        <x:v>是</x:v>
      </x:c>
      <x:c r="L312" s="16" t="str">
        <x:v>否</x:v>
      </x:c>
      <x:c r="M312" s="14" t="str">
        <x:v>Config(CONFIG_KEEPER)</x:v>
      </x:c>
      <x:c r="N312" s="14" t="str">
        <x:v>沿用/见变更表</x:v>
      </x:c>
      <x:c r="O312" s="14" t="str">
        <x:v>FX100Keys.sol / Config.sol / registry-v0.3.2.json</x:v>
      </x:c>
    </x:row>
    <x:row r="313">
      <x:c r="A313" s="16" t="n">
        <x:v>312</x:v>
      </x:c>
      <x:c r="B313" s="14" t="str">
        <x:v>派生 Key</x:v>
      </x:c>
      <x:c r="C313" s="14" t="str">
        <x:v>swapOrderGasLimitKey</x:v>
      </x:c>
      <x:c r="D313" s="14" t="str">
        <x:v>SWAP_ORDER_GAS_LIMIT</x:v>
      </x:c>
      <x:c r="E313" s="14" t="str">
        <x:v>SWAP_ORDER_GAS_LIMIT</x:v>
      </x:c>
      <x:c r="F313" s="14" t="str"/>
      <x:c r="G313" s="14" t="str">
        <x:v>identity</x:v>
      </x:c>
      <x:c r="H313" s="14" t="str"/>
      <x:c r="I313" s="14" t="str"/>
      <x:c r="J313" s="14" t="str">
        <x:v>global</x:v>
      </x:c>
      <x:c r="K313" s="16" t="str">
        <x:v>是</x:v>
      </x:c>
      <x:c r="L313" s="16" t="str">
        <x:v>否</x:v>
      </x:c>
      <x:c r="M313" s="14" t="str">
        <x:v>Config(CONFIG_KEEPER)</x:v>
      </x:c>
      <x:c r="N313" s="14" t="str">
        <x:v>沿用/见变更表</x:v>
      </x:c>
      <x:c r="O313" s="14" t="str">
        <x:v>FX100Keys.sol / Config.sol / registry-v0.3.2.json</x:v>
      </x:c>
    </x:row>
    <x:row r="314">
      <x:c r="A314" s="16" t="n">
        <x:v>313</x:v>
      </x:c>
      <x:c r="B314" s="14" t="str">
        <x:v>派生 Key</x:v>
      </x:c>
      <x:c r="C314" s="14" t="str">
        <x:v>swapPathMarketFlagKey</x:v>
      </x:c>
      <x:c r="D314" s="14" t="str">
        <x:v>SWAP_PATH_MARKET_FLAG</x:v>
      </x:c>
      <x:c r="E314" s="14" t="str">
        <x:v>SWAP_PATH_MARKET_FLAG</x:v>
      </x:c>
      <x:c r="F314" s="14" t="str"/>
      <x:c r="G314" s="14" t="str">
        <x:v>keccak256(abi.encode(BASE,...args))</x:v>
      </x:c>
      <x:c r="H314" s="14" t="str">
        <x:v>uint256 marketIndex [market]</x:v>
      </x:c>
      <x:c r="I314" s="14" t="str"/>
      <x:c r="J314" s="14" t="str">
        <x:v>market</x:v>
      </x:c>
      <x:c r="K314" s="16" t="str">
        <x:v>否</x:v>
      </x:c>
      <x:c r="L314" s="16" t="str">
        <x:v>否</x:v>
      </x:c>
      <x:c r="M314" s="14" t="str">
        <x:v>DataStore 直写(CONTROLLER)</x:v>
      </x:c>
      <x:c r="N314" s="14" t="str">
        <x:v>沿用/见变更表</x:v>
      </x:c>
      <x:c r="O314" s="14" t="str">
        <x:v>FX100Keys.sol / Config.sol / registry-v0.3.2.json</x:v>
      </x:c>
    </x:row>
    <x:row r="315">
      <x:c r="A315" s="16" t="n">
        <x:v>314</x:v>
      </x:c>
      <x:c r="B315" s="14" t="str">
        <x:v>派生 Key</x:v>
      </x:c>
      <x:c r="C315" s="14" t="str">
        <x:v>jitFeatureDisabledKey</x:v>
      </x:c>
      <x:c r="D315" s="14" t="str">
        <x:v>JIT_FEATURE_DISABLED</x:v>
      </x:c>
      <x:c r="E315" s="14" t="str">
        <x:v>JIT_FEATURE_DISABLED</x:v>
      </x:c>
      <x:c r="F315" s="14" t="str"/>
      <x:c r="G315" s="14" t="str">
        <x:v>keccak256(abi.encode(BASE,...args))</x:v>
      </x:c>
      <x:c r="H315" s="14" t="str">
        <x:v>address module [module]</x:v>
      </x:c>
      <x:c r="I315" s="14" t="str">
        <x:v>bool</x:v>
      </x:c>
      <x:c r="J315" s="14" t="str">
        <x:v>module</x:v>
      </x:c>
      <x:c r="K315" s="16" t="str">
        <x:v>是</x:v>
      </x:c>
      <x:c r="L315" s="16" t="str">
        <x:v>否</x:v>
      </x:c>
      <x:c r="M315" s="14" t="str">
        <x:v>Config(CONFIG_KEEPER)</x:v>
      </x:c>
      <x:c r="N315" s="14" t="str">
        <x:v>沿用/见变更表</x:v>
      </x:c>
      <x:c r="O315" s="14" t="str">
        <x:v>FX100Keys.sol / Config.sol / registry-v0.3.2.json</x:v>
      </x:c>
    </x:row>
    <x:row r="316">
      <x:c r="A316" s="16" t="n">
        <x:v>315</x:v>
      </x:c>
      <x:c r="B316" s="14" t="str">
        <x:v>派生 Key</x:v>
      </x:c>
      <x:c r="C316" s="14" t="str">
        <x:v>createDepositFeatureDisabledKey</x:v>
      </x:c>
      <x:c r="D316" s="14" t="str">
        <x:v>CREATE_DEPOSIT_FEATURE_DISABLED</x:v>
      </x:c>
      <x:c r="E316" s="14" t="str">
        <x:v>CREATE_DEPOSIT_FEATURE_DISABLED</x:v>
      </x:c>
      <x:c r="F316" s="14" t="str"/>
      <x:c r="G316" s="14" t="str">
        <x:v>keccak256(abi.encode(BASE,...args))</x:v>
      </x:c>
      <x:c r="H316" s="14" t="str">
        <x:v>address module [module]</x:v>
      </x:c>
      <x:c r="I316" s="14" t="str">
        <x:v>bool</x:v>
      </x:c>
      <x:c r="J316" s="14" t="str">
        <x:v>module</x:v>
      </x:c>
      <x:c r="K316" s="16" t="str">
        <x:v>是</x:v>
      </x:c>
      <x:c r="L316" s="16" t="str">
        <x:v>否</x:v>
      </x:c>
      <x:c r="M316" s="14" t="str">
        <x:v>Config(CONFIG_KEEPER)</x:v>
      </x:c>
      <x:c r="N316" s="14" t="str">
        <x:v>沿用/见变更表</x:v>
      </x:c>
      <x:c r="O316" s="14" t="str">
        <x:v>FX100Keys.sol / Config.sol / registry-v0.3.2.json</x:v>
      </x:c>
    </x:row>
    <x:row r="317">
      <x:c r="A317" s="16" t="n">
        <x:v>316</x:v>
      </x:c>
      <x:c r="B317" s="14" t="str">
        <x:v>派生 Key</x:v>
      </x:c>
      <x:c r="C317" s="14" t="str">
        <x:v>cancelDepositFeatureDisabledKey</x:v>
      </x:c>
      <x:c r="D317" s="14" t="str">
        <x:v>CANCEL_DEPOSIT_FEATURE_DISABLED</x:v>
      </x:c>
      <x:c r="E317" s="14" t="str">
        <x:v>CANCEL_DEPOSIT_FEATURE_DISABLED</x:v>
      </x:c>
      <x:c r="F317" s="14" t="str"/>
      <x:c r="G317" s="14" t="str">
        <x:v>keccak256(abi.encode(BASE,...args))</x:v>
      </x:c>
      <x:c r="H317" s="14" t="str">
        <x:v>address module [module]</x:v>
      </x:c>
      <x:c r="I317" s="14" t="str">
        <x:v>bool</x:v>
      </x:c>
      <x:c r="J317" s="14" t="str">
        <x:v>module</x:v>
      </x:c>
      <x:c r="K317" s="16" t="str">
        <x:v>是</x:v>
      </x:c>
      <x:c r="L317" s="16" t="str">
        <x:v>否</x:v>
      </x:c>
      <x:c r="M317" s="14" t="str">
        <x:v>Config(CONFIG_KEEPER)</x:v>
      </x:c>
      <x:c r="N317" s="14" t="str">
        <x:v>沿用/见变更表</x:v>
      </x:c>
      <x:c r="O317" s="14" t="str">
        <x:v>FX100Keys.sol / Config.sol / registry-v0.3.2.json</x:v>
      </x:c>
    </x:row>
    <x:row r="318">
      <x:c r="A318" s="16" t="n">
        <x:v>317</x:v>
      </x:c>
      <x:c r="B318" s="14" t="str">
        <x:v>派生 Key</x:v>
      </x:c>
      <x:c r="C318" s="14" t="str">
        <x:v>executeDepositFeatureDisabledKey</x:v>
      </x:c>
      <x:c r="D318" s="14" t="str">
        <x:v>EXECUTE_DEPOSIT_FEATURE_DISABLED</x:v>
      </x:c>
      <x:c r="E318" s="14" t="str">
        <x:v>EXECUTE_DEPOSIT_FEATURE_DISABLED</x:v>
      </x:c>
      <x:c r="F318" s="14" t="str"/>
      <x:c r="G318" s="14" t="str">
        <x:v>keccak256(abi.encode(BASE,...args))</x:v>
      </x:c>
      <x:c r="H318" s="14" t="str">
        <x:v>address module [module]</x:v>
      </x:c>
      <x:c r="I318" s="14" t="str">
        <x:v>bool</x:v>
      </x:c>
      <x:c r="J318" s="14" t="str">
        <x:v>module</x:v>
      </x:c>
      <x:c r="K318" s="16" t="str">
        <x:v>是</x:v>
      </x:c>
      <x:c r="L318" s="16" t="str">
        <x:v>否</x:v>
      </x:c>
      <x:c r="M318" s="14" t="str">
        <x:v>Config(CONFIG_KEEPER)</x:v>
      </x:c>
      <x:c r="N318" s="14" t="str">
        <x:v>沿用/见变更表</x:v>
      </x:c>
      <x:c r="O318" s="14" t="str">
        <x:v>FX100Keys.sol / Config.sol / registry-v0.3.2.json</x:v>
      </x:c>
    </x:row>
    <x:row r="319">
      <x:c r="A319" s="16" t="n">
        <x:v>318</x:v>
      </x:c>
      <x:c r="B319" s="14" t="str">
        <x:v>派生 Key</x:v>
      </x:c>
      <x:c r="C319" s="14" t="str">
        <x:v>createWithdrawalFeatureDisabledKey</x:v>
      </x:c>
      <x:c r="D319" s="14" t="str">
        <x:v>CREATE_WITHDRAWAL_FEATURE_DISABLED</x:v>
      </x:c>
      <x:c r="E319" s="14" t="str">
        <x:v>CREATE_WITHDRAWAL_FEATURE_DISABLED</x:v>
      </x:c>
      <x:c r="F319" s="14" t="str"/>
      <x:c r="G319" s="14" t="str">
        <x:v>keccak256(abi.encode(BASE,...args))</x:v>
      </x:c>
      <x:c r="H319" s="14" t="str">
        <x:v>address module [module]</x:v>
      </x:c>
      <x:c r="I319" s="14" t="str">
        <x:v>bool</x:v>
      </x:c>
      <x:c r="J319" s="14" t="str">
        <x:v>module</x:v>
      </x:c>
      <x:c r="K319" s="16" t="str">
        <x:v>是</x:v>
      </x:c>
      <x:c r="L319" s="16" t="str">
        <x:v>否</x:v>
      </x:c>
      <x:c r="M319" s="14" t="str">
        <x:v>Config(CONFIG_KEEPER)</x:v>
      </x:c>
      <x:c r="N319" s="14" t="str">
        <x:v>沿用/见变更表</x:v>
      </x:c>
      <x:c r="O319" s="14" t="str">
        <x:v>FX100Keys.sol / Config.sol / registry-v0.3.2.json</x:v>
      </x:c>
    </x:row>
    <x:row r="320">
      <x:c r="A320" s="16" t="n">
        <x:v>319</x:v>
      </x:c>
      <x:c r="B320" s="14" t="str">
        <x:v>派生 Key</x:v>
      </x:c>
      <x:c r="C320" s="14" t="str">
        <x:v>cancelWithdrawalFeatureDisabledKey</x:v>
      </x:c>
      <x:c r="D320" s="14" t="str">
        <x:v>CANCEL_WITHDRAWAL_FEATURE_DISABLED</x:v>
      </x:c>
      <x:c r="E320" s="14" t="str">
        <x:v>CANCEL_WITHDRAWAL_FEATURE_DISABLED</x:v>
      </x:c>
      <x:c r="F320" s="14" t="str"/>
      <x:c r="G320" s="14" t="str">
        <x:v>keccak256(abi.encode(BASE,...args))</x:v>
      </x:c>
      <x:c r="H320" s="14" t="str">
        <x:v>address module [module]</x:v>
      </x:c>
      <x:c r="I320" s="14" t="str">
        <x:v>bool</x:v>
      </x:c>
      <x:c r="J320" s="14" t="str">
        <x:v>module</x:v>
      </x:c>
      <x:c r="K320" s="16" t="str">
        <x:v>是</x:v>
      </x:c>
      <x:c r="L320" s="16" t="str">
        <x:v>否</x:v>
      </x:c>
      <x:c r="M320" s="14" t="str">
        <x:v>Config(CONFIG_KEEPER)</x:v>
      </x:c>
      <x:c r="N320" s="14" t="str">
        <x:v>沿用/见变更表</x:v>
      </x:c>
      <x:c r="O320" s="14" t="str">
        <x:v>FX100Keys.sol / Config.sol / registry-v0.3.2.json</x:v>
      </x:c>
    </x:row>
    <x:row r="321">
      <x:c r="A321" s="16" t="n">
        <x:v>320</x:v>
      </x:c>
      <x:c r="B321" s="14" t="str">
        <x:v>派生 Key</x:v>
      </x:c>
      <x:c r="C321" s="14" t="str">
        <x:v>executeWithdrawalFeatureDisabledKey</x:v>
      </x:c>
      <x:c r="D321" s="14" t="str">
        <x:v>EXECUTE_WITHDRAWAL_FEATURE_DISABLED</x:v>
      </x:c>
      <x:c r="E321" s="14" t="str">
        <x:v>EXECUTE_WITHDRAWAL_FEATURE_DISABLED</x:v>
      </x:c>
      <x:c r="F321" s="14" t="str"/>
      <x:c r="G321" s="14" t="str">
        <x:v>keccak256(abi.encode(BASE,...args))</x:v>
      </x:c>
      <x:c r="H321" s="14" t="str">
        <x:v>address module [module]</x:v>
      </x:c>
      <x:c r="I321" s="14" t="str">
        <x:v>bool</x:v>
      </x:c>
      <x:c r="J321" s="14" t="str">
        <x:v>module</x:v>
      </x:c>
      <x:c r="K321" s="16" t="str">
        <x:v>是</x:v>
      </x:c>
      <x:c r="L321" s="16" t="str">
        <x:v>否</x:v>
      </x:c>
      <x:c r="M321" s="14" t="str">
        <x:v>Config(CONFIG_KEEPER)</x:v>
      </x:c>
      <x:c r="N321" s="14" t="str">
        <x:v>沿用/见变更表</x:v>
      </x:c>
      <x:c r="O321" s="14" t="str">
        <x:v>FX100Keys.sol / Config.sol / registry-v0.3.2.json</x:v>
      </x:c>
    </x:row>
    <x:row r="322">
      <x:c r="A322" s="16" t="n">
        <x:v>321</x:v>
      </x:c>
      <x:c r="B322" s="14" t="str">
        <x:v>派生 Key</x:v>
      </x:c>
      <x:c r="C322" s="14" t="str">
        <x:v>executeAtomicWithdrawalFeatureDisabledKey</x:v>
      </x:c>
      <x:c r="D322" s="14" t="str">
        <x:v>EXECUTE_ATOMIC_WITHDRAWAL_FEATURE_DISABLED</x:v>
      </x:c>
      <x:c r="E322" s="14" t="str">
        <x:v>EXECUTE_ATOMIC_WITHDRAWAL_FEATURE_DISABLED</x:v>
      </x:c>
      <x:c r="F322" s="14" t="str"/>
      <x:c r="G322" s="14" t="str">
        <x:v>keccak256(abi.encode(BASE,...args))</x:v>
      </x:c>
      <x:c r="H322" s="14" t="str">
        <x:v>address module [module]</x:v>
      </x:c>
      <x:c r="I322" s="14" t="str">
        <x:v>bool</x:v>
      </x:c>
      <x:c r="J322" s="14" t="str">
        <x:v>module</x:v>
      </x:c>
      <x:c r="K322" s="16" t="str">
        <x:v>是</x:v>
      </x:c>
      <x:c r="L322" s="16" t="str">
        <x:v>否</x:v>
      </x:c>
      <x:c r="M322" s="14" t="str">
        <x:v>Config(CONFIG_KEEPER)</x:v>
      </x:c>
      <x:c r="N322" s="14" t="str">
        <x:v>沿用/见变更表</x:v>
      </x:c>
      <x:c r="O322" s="14" t="str">
        <x:v>FX100Keys.sol / Config.sol / registry-v0.3.2.json</x:v>
      </x:c>
    </x:row>
    <x:row r="323">
      <x:c r="A323" s="16" t="n">
        <x:v>322</x:v>
      </x:c>
      <x:c r="B323" s="14" t="str">
        <x:v>派生 Key</x:v>
      </x:c>
      <x:c r="C323" s="14" t="str">
        <x:v>createOrderFeatureDisabledKey</x:v>
      </x:c>
      <x:c r="D323" s="14" t="str">
        <x:v>CREATE_ORDER_FEATURE_DISABLED</x:v>
      </x:c>
      <x:c r="E323" s="14" t="str">
        <x:v>CREATE_ORDER_FEATURE_DISABLED</x:v>
      </x:c>
      <x:c r="F323" s="14" t="str"/>
      <x:c r="G323" s="14" t="str">
        <x:v>keccak256(abi.encode(BASE,...args))</x:v>
      </x:c>
      <x:c r="H323" s="14" t="str">
        <x:v>address module [module], uint256 orderType [orderType]</x:v>
      </x:c>
      <x:c r="I323" s="14" t="str">
        <x:v>bool</x:v>
      </x:c>
      <x:c r="J323" s="14" t="str">
        <x:v>module + orderType</x:v>
      </x:c>
      <x:c r="K323" s="16" t="str">
        <x:v>是</x:v>
      </x:c>
      <x:c r="L323" s="16" t="str">
        <x:v>否</x:v>
      </x:c>
      <x:c r="M323" s="14" t="str">
        <x:v>Config(CONFIG_KEEPER)</x:v>
      </x:c>
      <x:c r="N323" s="14" t="str">
        <x:v>沿用/见变更表</x:v>
      </x:c>
      <x:c r="O323" s="14" t="str">
        <x:v>FX100Keys.sol / Config.sol / registry-v0.3.2.json</x:v>
      </x:c>
    </x:row>
    <x:row r="324">
      <x:c r="A324" s="16" t="n">
        <x:v>323</x:v>
      </x:c>
      <x:c r="B324" s="14" t="str">
        <x:v>派生 Key</x:v>
      </x:c>
      <x:c r="C324" s="14" t="str">
        <x:v>executeOrderFeatureDisabledKey</x:v>
      </x:c>
      <x:c r="D324" s="14" t="str">
        <x:v>EXECUTE_ORDER_FEATURE_DISABLED</x:v>
      </x:c>
      <x:c r="E324" s="14" t="str">
        <x:v>EXECUTE_ORDER_FEATURE_DISABLED</x:v>
      </x:c>
      <x:c r="F324" s="14" t="str"/>
      <x:c r="G324" s="14" t="str">
        <x:v>keccak256(abi.encode(BASE,...args))</x:v>
      </x:c>
      <x:c r="H324" s="14" t="str">
        <x:v>address module [module], uint256 orderType [orderType]</x:v>
      </x:c>
      <x:c r="I324" s="14" t="str">
        <x:v>bool</x:v>
      </x:c>
      <x:c r="J324" s="14" t="str">
        <x:v>module + orderType</x:v>
      </x:c>
      <x:c r="K324" s="16" t="str">
        <x:v>是</x:v>
      </x:c>
      <x:c r="L324" s="16" t="str">
        <x:v>否</x:v>
      </x:c>
      <x:c r="M324" s="14" t="str">
        <x:v>Config(CONFIG_KEEPER)</x:v>
      </x:c>
      <x:c r="N324" s="14" t="str">
        <x:v>沿用/见变更表</x:v>
      </x:c>
      <x:c r="O324" s="14" t="str">
        <x:v>FX100Keys.sol / Config.sol / registry-v0.3.2.json</x:v>
      </x:c>
    </x:row>
    <x:row r="325">
      <x:c r="A325" s="16" t="n">
        <x:v>324</x:v>
      </x:c>
      <x:c r="B325" s="14" t="str">
        <x:v>派生 Key</x:v>
      </x:c>
      <x:c r="C325" s="14" t="str">
        <x:v>executeAdlFeatureDisabledKey</x:v>
      </x:c>
      <x:c r="D325" s="14" t="str">
        <x:v>EXECUTE_ADL_FEATURE_DISABLED</x:v>
      </x:c>
      <x:c r="E325" s="14" t="str">
        <x:v>EXECUTE_ADL_FEATURE_DISABLED</x:v>
      </x:c>
      <x:c r="F325" s="14" t="str"/>
      <x:c r="G325" s="14" t="str">
        <x:v>keccak256(abi.encode(BASE,...args))</x:v>
      </x:c>
      <x:c r="H325" s="14" t="str">
        <x:v>address module [module], uint256 orderType [orderType]</x:v>
      </x:c>
      <x:c r="I325" s="14" t="str">
        <x:v>bool</x:v>
      </x:c>
      <x:c r="J325" s="14" t="str">
        <x:v>module + orderType</x:v>
      </x:c>
      <x:c r="K325" s="16" t="str">
        <x:v>是</x:v>
      </x:c>
      <x:c r="L325" s="16" t="str">
        <x:v>否</x:v>
      </x:c>
      <x:c r="M325" s="14" t="str">
        <x:v>Config(CONFIG_KEEPER)</x:v>
      </x:c>
      <x:c r="N325" s="14" t="str">
        <x:v>沿用/见变更表</x:v>
      </x:c>
      <x:c r="O325" s="14" t="str">
        <x:v>FX100Keys.sol / Config.sol / registry-v0.3.2.json</x:v>
      </x:c>
    </x:row>
    <x:row r="326">
      <x:c r="A326" s="16" t="n">
        <x:v>325</x:v>
      </x:c>
      <x:c r="B326" s="14" t="str">
        <x:v>派生 Key</x:v>
      </x:c>
      <x:c r="C326" s="14" t="str">
        <x:v>updateOrderFeatureDisabledKey</x:v>
      </x:c>
      <x:c r="D326" s="14" t="str">
        <x:v>UPDATE_ORDER_FEATURE_DISABLED</x:v>
      </x:c>
      <x:c r="E326" s="14" t="str">
        <x:v>UPDATE_ORDER_FEATURE_DISABLED</x:v>
      </x:c>
      <x:c r="F326" s="14" t="str"/>
      <x:c r="G326" s="14" t="str">
        <x:v>keccak256(abi.encode(BASE,...args))</x:v>
      </x:c>
      <x:c r="H326" s="14" t="str">
        <x:v>address module [module], uint256 orderType [orderType]</x:v>
      </x:c>
      <x:c r="I326" s="14" t="str">
        <x:v>bool</x:v>
      </x:c>
      <x:c r="J326" s="14" t="str">
        <x:v>module + orderType</x:v>
      </x:c>
      <x:c r="K326" s="16" t="str">
        <x:v>是</x:v>
      </x:c>
      <x:c r="L326" s="16" t="str">
        <x:v>否</x:v>
      </x:c>
      <x:c r="M326" s="14" t="str">
        <x:v>Config(CONFIG_KEEPER)</x:v>
      </x:c>
      <x:c r="N326" s="14" t="str">
        <x:v>沿用/见变更表</x:v>
      </x:c>
      <x:c r="O326" s="14" t="str">
        <x:v>FX100Keys.sol / Config.sol / registry-v0.3.2.json</x:v>
      </x:c>
    </x:row>
    <x:row r="327">
      <x:c r="A327" s="16" t="n">
        <x:v>326</x:v>
      </x:c>
      <x:c r="B327" s="14" t="str">
        <x:v>派生 Key</x:v>
      </x:c>
      <x:c r="C327" s="14" t="str">
        <x:v>cancelOrderFeatureDisabledKey</x:v>
      </x:c>
      <x:c r="D327" s="14" t="str">
        <x:v>CANCEL_ORDER_FEATURE_DISABLED</x:v>
      </x:c>
      <x:c r="E327" s="14" t="str">
        <x:v>CANCEL_ORDER_FEATURE_DISABLED</x:v>
      </x:c>
      <x:c r="F327" s="14" t="str"/>
      <x:c r="G327" s="14" t="str">
        <x:v>keccak256(abi.encode(BASE,...args))</x:v>
      </x:c>
      <x:c r="H327" s="14" t="str">
        <x:v>address module [module], uint256 orderType [orderType]</x:v>
      </x:c>
      <x:c r="I327" s="14" t="str">
        <x:v>bool</x:v>
      </x:c>
      <x:c r="J327" s="14" t="str">
        <x:v>module + orderType</x:v>
      </x:c>
      <x:c r="K327" s="16" t="str">
        <x:v>是</x:v>
      </x:c>
      <x:c r="L327" s="16" t="str">
        <x:v>否</x:v>
      </x:c>
      <x:c r="M327" s="14" t="str">
        <x:v>Config(CONFIG_KEEPER)</x:v>
      </x:c>
      <x:c r="N327" s="14" t="str">
        <x:v>沿用/见变更表</x:v>
      </x:c>
      <x:c r="O327" s="14" t="str">
        <x:v>FX100Keys.sol / Config.sol / registry-v0.3.2.json</x:v>
      </x:c>
    </x:row>
    <x:row r="328">
      <x:c r="A328" s="16" t="n">
        <x:v>327</x:v>
      </x:c>
      <x:c r="B328" s="14" t="str">
        <x:v>派生 Key</x:v>
      </x:c>
      <x:c r="C328" s="14" t="str">
        <x:v>claimFundingFeesFeatureDisabledKey</x:v>
      </x:c>
      <x:c r="D328" s="14" t="str">
        <x:v>CLAIM_FUNDING_FEES_FEATURE_DISABLED</x:v>
      </x:c>
      <x:c r="E328" s="14" t="str">
        <x:v>CLAIM_FUNDING_FEES_FEATURE_DISABLED</x:v>
      </x:c>
      <x:c r="F328" s="14" t="str"/>
      <x:c r="G328" s="14" t="str">
        <x:v>keccak256(abi.encode(BASE,...args))</x:v>
      </x:c>
      <x:c r="H328" s="14" t="str">
        <x:v>address module [module]</x:v>
      </x:c>
      <x:c r="I328" s="14" t="str">
        <x:v>bool</x:v>
      </x:c>
      <x:c r="J328" s="14" t="str">
        <x:v>module</x:v>
      </x:c>
      <x:c r="K328" s="16" t="str">
        <x:v>是</x:v>
      </x:c>
      <x:c r="L328" s="16" t="str">
        <x:v>否</x:v>
      </x:c>
      <x:c r="M328" s="14" t="str">
        <x:v>Config(CONFIG_KEEPER)</x:v>
      </x:c>
      <x:c r="N328" s="14" t="str">
        <x:v>沿用/见变更表</x:v>
      </x:c>
      <x:c r="O328" s="14" t="str">
        <x:v>FX100Keys.sol / Config.sol / registry-v0.3.2.json</x:v>
      </x:c>
    </x:row>
    <x:row r="329">
      <x:c r="A329" s="16" t="n">
        <x:v>328</x:v>
      </x:c>
      <x:c r="B329" s="14" t="str">
        <x:v>派生 Key</x:v>
      </x:c>
      <x:c r="C329" s="14" t="str">
        <x:v>claimAffiliateRewardsFeatureDisabledKey</x:v>
      </x:c>
      <x:c r="D329" s="14" t="str">
        <x:v>CLAIM_AFFILIATE_REWARDS_FEATURE_DISABLED</x:v>
      </x:c>
      <x:c r="E329" s="14" t="str">
        <x:v>CLAIM_AFFILIATE_REWARDS_FEATURE_DISABLED</x:v>
      </x:c>
      <x:c r="F329" s="14" t="str"/>
      <x:c r="G329" s="14" t="str">
        <x:v>keccak256(abi.encode(BASE,...args))</x:v>
      </x:c>
      <x:c r="H329" s="14" t="str">
        <x:v>address module [module]</x:v>
      </x:c>
      <x:c r="I329" s="14" t="str">
        <x:v>bool</x:v>
      </x:c>
      <x:c r="J329" s="14" t="str">
        <x:v>module</x:v>
      </x:c>
      <x:c r="K329" s="16" t="str">
        <x:v>是</x:v>
      </x:c>
      <x:c r="L329" s="16" t="str">
        <x:v>否</x:v>
      </x:c>
      <x:c r="M329" s="14" t="str">
        <x:v>Config(CONFIG_KEEPER)</x:v>
      </x:c>
      <x:c r="N329" s="14" t="str">
        <x:v>沿用/见变更表</x:v>
      </x:c>
      <x:c r="O329" s="14" t="str">
        <x:v>FX100Keys.sol / Config.sol / registry-v0.3.2.json</x:v>
      </x:c>
    </x:row>
    <x:row r="330">
      <x:c r="A330" s="16" t="n">
        <x:v>329</x:v>
      </x:c>
      <x:c r="B330" s="14" t="str">
        <x:v>派生 Key</x:v>
      </x:c>
      <x:c r="C330" s="14" t="str">
        <x:v>claimUiFeesFeatureDisabledKey</x:v>
      </x:c>
      <x:c r="D330" s="14" t="str">
        <x:v>CLAIM_UI_FEES_FEATURE_DISABLED</x:v>
      </x:c>
      <x:c r="E330" s="14" t="str">
        <x:v>CLAIM_UI_FEES_FEATURE_DISABLED</x:v>
      </x:c>
      <x:c r="F330" s="14" t="str"/>
      <x:c r="G330" s="14" t="str">
        <x:v>keccak256(abi.encode(BASE,...args))</x:v>
      </x:c>
      <x:c r="H330" s="14" t="str">
        <x:v>address module [module]</x:v>
      </x:c>
      <x:c r="I330" s="14" t="str">
        <x:v>bool</x:v>
      </x:c>
      <x:c r="J330" s="14" t="str">
        <x:v>module</x:v>
      </x:c>
      <x:c r="K330" s="16" t="str">
        <x:v>是</x:v>
      </x:c>
      <x:c r="L330" s="16" t="str">
        <x:v>否</x:v>
      </x:c>
      <x:c r="M330" s="14" t="str">
        <x:v>Config(CONFIG_KEEPER)</x:v>
      </x:c>
      <x:c r="N330" s="14" t="str">
        <x:v>沿用/见变更表</x:v>
      </x:c>
      <x:c r="O330" s="14" t="str">
        <x:v>FX100Keys.sol / Config.sol / registry-v0.3.2.json</x:v>
      </x:c>
    </x:row>
    <x:row r="331">
      <x:c r="A331" s="16" t="n">
        <x:v>330</x:v>
      </x:c>
      <x:c r="B331" s="14" t="str">
        <x:v>派生 Key</x:v>
      </x:c>
      <x:c r="C331" s="14" t="str">
        <x:v>subaccountFeatureDisabledKey</x:v>
      </x:c>
      <x:c r="D331" s="14" t="str">
        <x:v>SUBACCOUNT_FEATURE_DISABLED</x:v>
      </x:c>
      <x:c r="E331" s="14" t="str">
        <x:v>SUBACCOUNT_FEATURE_DISABLED</x:v>
      </x:c>
      <x:c r="F331" s="14" t="str"/>
      <x:c r="G331" s="14" t="str">
        <x:v>keccak256(abi.encode(BASE,...args))</x:v>
      </x:c>
      <x:c r="H331" s="14" t="str">
        <x:v>address module [module]</x:v>
      </x:c>
      <x:c r="I331" s="14" t="str">
        <x:v>bool</x:v>
      </x:c>
      <x:c r="J331" s="14" t="str">
        <x:v>module</x:v>
      </x:c>
      <x:c r="K331" s="16" t="str">
        <x:v>是</x:v>
      </x:c>
      <x:c r="L331" s="16" t="str">
        <x:v>否</x:v>
      </x:c>
      <x:c r="M331" s="14" t="str">
        <x:v>Config(CONFIG_KEEPER)</x:v>
      </x:c>
      <x:c r="N331" s="14" t="str">
        <x:v>沿用/见变更表</x:v>
      </x:c>
      <x:c r="O331" s="14" t="str">
        <x:v>FX100Keys.sol / Config.sol / registry-v0.3.2.json</x:v>
      </x:c>
    </x:row>
    <x:row r="332">
      <x:c r="A332" s="16" t="n">
        <x:v>331</x:v>
      </x:c>
      <x:c r="B332" s="14" t="str">
        <x:v>派生 Key</x:v>
      </x:c>
      <x:c r="C332" s="14" t="str">
        <x:v>gaslessFeatureDisabledKey</x:v>
      </x:c>
      <x:c r="D332" s="14" t="str">
        <x:v>GASLESS_FEATURE_DISABLED</x:v>
      </x:c>
      <x:c r="E332" s="14" t="str">
        <x:v>GASLESS_FEATURE_DISABLED</x:v>
      </x:c>
      <x:c r="F332" s="14" t="str"/>
      <x:c r="G332" s="14" t="str">
        <x:v>keccak256(abi.encode(BASE,...args))</x:v>
      </x:c>
      <x:c r="H332" s="14" t="str">
        <x:v>address module [module]</x:v>
      </x:c>
      <x:c r="I332" s="14" t="str">
        <x:v>bool</x:v>
      </x:c>
      <x:c r="J332" s="14" t="str">
        <x:v>module</x:v>
      </x:c>
      <x:c r="K332" s="16" t="str">
        <x:v>是</x:v>
      </x:c>
      <x:c r="L332" s="16" t="str">
        <x:v>否</x:v>
      </x:c>
      <x:c r="M332" s="14" t="str">
        <x:v>Config(CONFIG_KEEPER)</x:v>
      </x:c>
      <x:c r="N332" s="14" t="str">
        <x:v>沿用/见变更表</x:v>
      </x:c>
      <x:c r="O332" s="14" t="str">
        <x:v>FX100Keys.sol / Config.sol / registry-v0.3.2.json</x:v>
      </x:c>
    </x:row>
    <x:row r="333">
      <x:c r="A333" s="16" t="n">
        <x:v>332</x:v>
      </x:c>
      <x:c r="B333" s="14" t="str">
        <x:v>派生 Key</x:v>
      </x:c>
      <x:c r="C333" s="14" t="str">
        <x:v>isRelayFeeExcludedKey</x:v>
      </x:c>
      <x:c r="D333" s="14" t="str">
        <x:v>IS_RELAY_FEE_EXCLUDED</x:v>
      </x:c>
      <x:c r="E333" s="14" t="str">
        <x:v>IS_RELAY_FEE_EXCLUDED</x:v>
      </x:c>
      <x:c r="F333" s="14" t="str"/>
      <x:c r="G333" s="14" t="str">
        <x:v>keccak256(abi.encode(BASE,...args))</x:v>
      </x:c>
      <x:c r="H333" s="14" t="str">
        <x:v>address sender [account]</x:v>
      </x:c>
      <x:c r="I333" s="14" t="str">
        <x:v>bool</x:v>
      </x:c>
      <x:c r="J333" s="14" t="str">
        <x:v>account</x:v>
      </x:c>
      <x:c r="K333" s="16" t="str">
        <x:v>是</x:v>
      </x:c>
      <x:c r="L333" s="16" t="str">
        <x:v>否</x:v>
      </x:c>
      <x:c r="M333" s="14" t="str">
        <x:v>Config(CONFIG_KEEPER)</x:v>
      </x:c>
      <x:c r="N333" s="14" t="str">
        <x:v>沿用/见变更表</x:v>
      </x:c>
      <x:c r="O333" s="14" t="str">
        <x:v>FX100Keys.sol / Config.sol / registry-v0.3.2.json</x:v>
      </x:c>
    </x:row>
    <x:row r="334">
      <x:c r="A334" s="16" t="n">
        <x:v>333</x:v>
      </x:c>
      <x:c r="B334" s="14" t="str">
        <x:v>派生 Key</x:v>
      </x:c>
      <x:c r="C334" s="14" t="str">
        <x:v>generalClaimFeatureDisabled</x:v>
      </x:c>
      <x:c r="D334" s="14" t="str">
        <x:v>GENERAL_CLAIM_FEATURE_DISABLED</x:v>
      </x:c>
      <x:c r="E334" s="14" t="str">
        <x:v>GENERAL_CLAIM_FEATURE_DISABLED</x:v>
      </x:c>
      <x:c r="F334" s="14" t="str"/>
      <x:c r="G334" s="14" t="str">
        <x:v>keccak256(abi.encode(BASE,...args))</x:v>
      </x:c>
      <x:c r="H334" s="14" t="str">
        <x:v>uint256 distributionId [distributionId]</x:v>
      </x:c>
      <x:c r="I334" s="14" t="str">
        <x:v>bool</x:v>
      </x:c>
      <x:c r="J334" s="14" t="str">
        <x:v>distributionId</x:v>
      </x:c>
      <x:c r="K334" s="16" t="str">
        <x:v>是</x:v>
      </x:c>
      <x:c r="L334" s="16" t="str">
        <x:v>否</x:v>
      </x:c>
      <x:c r="M334" s="14" t="str">
        <x:v>Config(CONFIG_KEEPER)</x:v>
      </x:c>
      <x:c r="N334" s="14" t="str">
        <x:v>沿用/见变更表</x:v>
      </x:c>
      <x:c r="O334" s="14" t="str">
        <x:v>FX100Keys.sol / Config.sol / registry-v0.3.2.json</x:v>
      </x:c>
    </x:row>
    <x:row r="335">
      <x:c r="A335" s="16" t="n">
        <x:v>334</x:v>
      </x:c>
      <x:c r="B335" s="14" t="str">
        <x:v>派生 Key</x:v>
      </x:c>
      <x:c r="C335" s="14" t="str">
        <x:v>uiFeeFactorKey</x:v>
      </x:c>
      <x:c r="D335" s="14" t="str">
        <x:v>UI_FEE_FACTOR</x:v>
      </x:c>
      <x:c r="E335" s="14" t="str">
        <x:v>UI_FEE_FACTOR</x:v>
      </x:c>
      <x:c r="F335" s="14" t="str"/>
      <x:c r="G335" s="14" t="str">
        <x:v>keccak256(abi.encode(BASE,...args))</x:v>
      </x:c>
      <x:c r="H335" s="14" t="str">
        <x:v>address account [account]</x:v>
      </x:c>
      <x:c r="I335" s="14" t="str">
        <x:v>uint</x:v>
      </x:c>
      <x:c r="J335" s="14" t="str">
        <x:v>account</x:v>
      </x:c>
      <x:c r="K335" s="16" t="str">
        <x:v>否</x:v>
      </x:c>
      <x:c r="L335" s="16" t="str">
        <x:v>否</x:v>
      </x:c>
      <x:c r="M335" s="14" t="str">
        <x:v>DataStore 直写(CONTROLLER)</x:v>
      </x:c>
      <x:c r="N335" s="14" t="str">
        <x:v>沿用/见变更表</x:v>
      </x:c>
      <x:c r="O335" s="14" t="str">
        <x:v>FX100Keys.sol / Config.sol / registry-v0.3.2.json</x:v>
      </x:c>
    </x:row>
    <x:row r="336">
      <x:c r="A336" s="16" t="n">
        <x:v>335</x:v>
      </x:c>
      <x:c r="B336" s="14" t="str">
        <x:v>派生 Key</x:v>
      </x:c>
      <x:c r="C336" s="14" t="str">
        <x:v>isOracleProviderEnabledKey</x:v>
      </x:c>
      <x:c r="D336" s="14" t="str">
        <x:v>IS_ORACLE_PROVIDER_ENABLED</x:v>
      </x:c>
      <x:c r="E336" s="14" t="str">
        <x:v>IS_ORACLE_PROVIDER_ENABLED</x:v>
      </x:c>
      <x:c r="F336" s="14" t="str"/>
      <x:c r="G336" s="14" t="str">
        <x:v>keccak256(abi.encode(BASE,...args))</x:v>
      </x:c>
      <x:c r="H336" s="14" t="str">
        <x:v>address provider [oracleProvider]</x:v>
      </x:c>
      <x:c r="I336" s="14" t="str">
        <x:v>bool</x:v>
      </x:c>
      <x:c r="J336" s="14" t="str">
        <x:v>oracleProvider</x:v>
      </x:c>
      <x:c r="K336" s="16" t="str">
        <x:v>否</x:v>
      </x:c>
      <x:c r="L336" s="16" t="str">
        <x:v>否</x:v>
      </x:c>
      <x:c r="M336" s="14" t="str">
        <x:v>DataStore 直写(CONTROLLER)</x:v>
      </x:c>
      <x:c r="N336" s="14" t="str">
        <x:v>沿用/见变更表</x:v>
      </x:c>
      <x:c r="O336" s="14" t="str">
        <x:v>FX100Keys.sol / Config.sol / registry-v0.3.2.json</x:v>
      </x:c>
    </x:row>
    <x:row r="337">
      <x:c r="A337" s="16" t="n">
        <x:v>336</x:v>
      </x:c>
      <x:c r="B337" s="14" t="str">
        <x:v>派生 Key</x:v>
      </x:c>
      <x:c r="C337" s="14" t="str">
        <x:v>oracleTimestampAdjustmentKey</x:v>
      </x:c>
      <x:c r="D337" s="14" t="str">
        <x:v>ORACLE_TIMESTAMP_ADJUSTMENT</x:v>
      </x:c>
      <x:c r="E337" s="14" t="str">
        <x:v>ORACLE_TIMESTAMP_ADJUSTMENT</x:v>
      </x:c>
      <x:c r="F337" s="14" t="str"/>
      <x:c r="G337" s="14" t="str">
        <x:v>keccak256(abi.encode(BASE,...args))</x:v>
      </x:c>
      <x:c r="H337" s="14" t="str">
        <x:v>address provider [oracleProvider], address token [token]</x:v>
      </x:c>
      <x:c r="I337" s="14" t="str">
        <x:v>uint</x:v>
      </x:c>
      <x:c r="J337" s="14" t="str">
        <x:v>oracleProvider + token</x:v>
      </x:c>
      <x:c r="K337" s="16" t="str">
        <x:v>是</x:v>
      </x:c>
      <x:c r="L337" s="16" t="str">
        <x:v>否</x:v>
      </x:c>
      <x:c r="M337" s="14" t="str">
        <x:v>Config(CONFIG_KEEPER)</x:v>
      </x:c>
      <x:c r="N337" s="14" t="str">
        <x:v>沿用/见变更表</x:v>
      </x:c>
      <x:c r="O337" s="14" t="str">
        <x:v>FX100Keys.sol / Config.sol / registry-v0.3.2.json</x:v>
      </x:c>
    </x:row>
    <x:row r="338">
      <x:c r="A338" s="16" t="n">
        <x:v>337</x:v>
      </x:c>
      <x:c r="B338" s="14" t="str">
        <x:v>派生 Key</x:v>
      </x:c>
      <x:c r="C338" s="14" t="str">
        <x:v>oracleProviderForTokenKey</x:v>
      </x:c>
      <x:c r="D338" s="14" t="str">
        <x:v>ORACLE_PROVIDER_FOR_TOKEN</x:v>
      </x:c>
      <x:c r="E338" s="14" t="str">
        <x:v>ORACLE_PROVIDER_FOR_TOKEN</x:v>
      </x:c>
      <x:c r="F338" s="14" t="str"/>
      <x:c r="G338" s="14" t="str">
        <x:v>keccak256(abi.encode(BASE,...args))</x:v>
      </x:c>
      <x:c r="H338" s="14" t="str">
        <x:v>address oracle [oracleContract], address token [token]</x:v>
      </x:c>
      <x:c r="I338" s="14" t="str">
        <x:v>address</x:v>
      </x:c>
      <x:c r="J338" s="14" t="str">
        <x:v>oracleContract + token</x:v>
      </x:c>
      <x:c r="K338" s="16" t="str">
        <x:v>否</x:v>
      </x:c>
      <x:c r="L338" s="16" t="str">
        <x:v>否</x:v>
      </x:c>
      <x:c r="M338" s="14" t="str">
        <x:v>DataStore 直写(CONTROLLER)</x:v>
      </x:c>
      <x:c r="N338" s="14" t="str">
        <x:v>沿用/见变更表</x:v>
      </x:c>
      <x:c r="O338" s="14" t="str">
        <x:v>FX100Keys.sol / Config.sol / registry-v0.3.2.json</x:v>
      </x:c>
    </x:row>
    <x:row r="339">
      <x:c r="A339" s="16" t="n">
        <x:v>338</x:v>
      </x:c>
      <x:c r="B339" s="14" t="str">
        <x:v>派生 Key</x:v>
      </x:c>
      <x:c r="C339" s="14" t="str">
        <x:v>oracleProviderForTokenKey</x:v>
      </x:c>
      <x:c r="D339" s="14" t="str">
        <x:v>ORACLE_PROVIDER_FOR_TOKEN</x:v>
      </x:c>
      <x:c r="E339" s="14" t="str">
        <x:v>ORACLE_PROVIDER_FOR_TOKEN</x:v>
      </x:c>
      <x:c r="F339" s="14" t="str"/>
      <x:c r="G339" s="14" t="str">
        <x:v>keccak256(abi.encode(BASE,...args))</x:v>
      </x:c>
      <x:c r="H339" s="14" t="str">
        <x:v>address token [token]</x:v>
      </x:c>
      <x:c r="I339" s="14" t="str">
        <x:v>address</x:v>
      </x:c>
      <x:c r="J339" s="14" t="str">
        <x:v>token</x:v>
      </x:c>
      <x:c r="K339" s="16" t="str">
        <x:v>否</x:v>
      </x:c>
      <x:c r="L339" s="16" t="str">
        <x:v>否</x:v>
      </x:c>
      <x:c r="M339" s="14" t="str">
        <x:v>DataStore 直写(CONTROLLER)</x:v>
      </x:c>
      <x:c r="N339" s="14" t="str">
        <x:v>沿用/见变更表</x:v>
      </x:c>
      <x:c r="O339" s="14" t="str">
        <x:v>FX100Keys.sol / Config.sol / registry-v0.3.2.json</x:v>
      </x:c>
    </x:row>
    <x:row r="340">
      <x:c r="A340" s="16" t="n">
        <x:v>339</x:v>
      </x:c>
      <x:c r="B340" s="14" t="str">
        <x:v>派生 Key</x:v>
      </x:c>
      <x:c r="C340" s="14" t="str">
        <x:v>oracleProviderUpdatedAt</x:v>
      </x:c>
      <x:c r="D340" s="14" t="str">
        <x:v>ORACLE_PROVIDER_UPDATED_AT</x:v>
      </x:c>
      <x:c r="E340" s="14" t="str">
        <x:v>ORACLE_PROVIDER_UPDATED_AT</x:v>
      </x:c>
      <x:c r="F340" s="14" t="str"/>
      <x:c r="G340" s="14" t="str">
        <x:v>keccak256(abi.encode(BASE,...args))</x:v>
      </x:c>
      <x:c r="H340" s="14" t="str">
        <x:v>address token [token], address provider [oracleProvider]</x:v>
      </x:c>
      <x:c r="I340" s="14" t="str">
        <x:v>uint</x:v>
      </x:c>
      <x:c r="J340" s="14" t="str">
        <x:v>token + oracleProvider</x:v>
      </x:c>
      <x:c r="K340" s="16" t="str">
        <x:v>否</x:v>
      </x:c>
      <x:c r="L340" s="16" t="str">
        <x:v>否</x:v>
      </x:c>
      <x:c r="M340" s="14" t="str">
        <x:v>DataStore 直写(CONTROLLER)</x:v>
      </x:c>
      <x:c r="N340" s="14" t="str">
        <x:v>沿用/见变更表</x:v>
      </x:c>
      <x:c r="O340" s="14" t="str">
        <x:v>FX100Keys.sol / Config.sol / registry-v0.3.2.json</x:v>
      </x:c>
    </x:row>
    <x:row r="341">
      <x:c r="A341" s="16" t="n">
        <x:v>340</x:v>
      </x:c>
      <x:c r="B341" s="14" t="str">
        <x:v>派生 Key</x:v>
      </x:c>
      <x:c r="C341" s="14" t="str">
        <x:v>tokenTransferGasLimit</x:v>
      </x:c>
      <x:c r="D341" s="14" t="str">
        <x:v>TOKEN_TRANSFER_GAS_LIMIT</x:v>
      </x:c>
      <x:c r="E341" s="14" t="str">
        <x:v>TOKEN_TRANSFER_GAS_LIMIT</x:v>
      </x:c>
      <x:c r="F341" s="14" t="str"/>
      <x:c r="G341" s="14" t="str">
        <x:v>keccak256(abi.encode(BASE,...args))</x:v>
      </x:c>
      <x:c r="H341" s="14" t="str">
        <x:v>address token [token]</x:v>
      </x:c>
      <x:c r="I341" s="14" t="str">
        <x:v>uint</x:v>
      </x:c>
      <x:c r="J341" s="14" t="str">
        <x:v>token</x:v>
      </x:c>
      <x:c r="K341" s="16" t="str">
        <x:v>是</x:v>
      </x:c>
      <x:c r="L341" s="16" t="str">
        <x:v>否</x:v>
      </x:c>
      <x:c r="M341" s="14" t="str">
        <x:v>Config(CONFIG_KEEPER)</x:v>
      </x:c>
      <x:c r="N341" s="14" t="str">
        <x:v>沿用/见变更表</x:v>
      </x:c>
      <x:c r="O341" s="14" t="str">
        <x:v>FX100Keys.sol / Config.sol / registry-v0.3.2.json</x:v>
      </x:c>
    </x:row>
    <x:row r="342">
      <x:c r="A342" s="16" t="n">
        <x:v>341</x:v>
      </x:c>
      <x:c r="B342" s="14" t="str">
        <x:v>派生 Key</x:v>
      </x:c>
      <x:c r="C342" s="14" t="str">
        <x:v>savedCallbackContract</x:v>
      </x:c>
      <x:c r="D342" s="14" t="str">
        <x:v>SAVED_CALLBACK_CONTRACT</x:v>
      </x:c>
      <x:c r="E342" s="14" t="str">
        <x:v>SAVED_CALLBACK_CONTRACT</x:v>
      </x:c>
      <x:c r="F342" s="14" t="str"/>
      <x:c r="G342" s="14" t="str">
        <x:v>keccak256(abi.encode(BASE,...args))</x:v>
      </x:c>
      <x:c r="H342" s="14" t="str">
        <x:v>address account [account], uint256 marketIndex [market]</x:v>
      </x:c>
      <x:c r="I342" s="14" t="str">
        <x:v>address</x:v>
      </x:c>
      <x:c r="J342" s="14" t="str">
        <x:v>account + market</x:v>
      </x:c>
      <x:c r="K342" s="16" t="str">
        <x:v>否</x:v>
      </x:c>
      <x:c r="L342" s="16" t="str">
        <x:v>否</x:v>
      </x:c>
      <x:c r="M342" s="14" t="str">
        <x:v>DataStore 直写(CONTROLLER)</x:v>
      </x:c>
      <x:c r="N342" s="14" t="str">
        <x:v>沿用/见变更表</x:v>
      </x:c>
      <x:c r="O342" s="14" t="str">
        <x:v>FX100Keys.sol / Config.sol / registry-v0.3.2.json</x:v>
      </x:c>
    </x:row>
    <x:row r="343">
      <x:c r="A343" s="16" t="n">
        <x:v>342</x:v>
      </x:c>
      <x:c r="B343" s="14" t="str">
        <x:v>派生 Key</x:v>
      </x:c>
      <x:c r="C343" s="14" t="str">
        <x:v>minCollateralFactorKey</x:v>
      </x:c>
      <x:c r="D343" s="14" t="str">
        <x:v>MIN_COLLATERAL_FACTOR</x:v>
      </x:c>
      <x:c r="E343" s="14" t="str">
        <x:v>MIN_COLLATERAL_FACTOR</x:v>
      </x:c>
      <x:c r="F343" s="14" t="str"/>
      <x:c r="G343" s="14" t="str">
        <x:v>keccak256(abi.encode(BASE,...args))</x:v>
      </x:c>
      <x:c r="H343" s="14" t="str">
        <x:v>uint256 marketIndex [market]</x:v>
      </x:c>
      <x:c r="I343" s="14" t="str">
        <x:v>uint</x:v>
      </x:c>
      <x:c r="J343" s="14" t="str">
        <x:v>market</x:v>
      </x:c>
      <x:c r="K343" s="16" t="str">
        <x:v>是</x:v>
      </x:c>
      <x:c r="L343" s="16" t="str">
        <x:v>否</x:v>
      </x:c>
      <x:c r="M343" s="14" t="str">
        <x:v>Config(CONFIG_KEEPER)</x:v>
      </x:c>
      <x:c r="N343" s="14" t="str">
        <x:v>沿用/见变更表</x:v>
      </x:c>
      <x:c r="O343" s="14" t="str">
        <x:v>FX100Keys.sol / Config.sol / registry-v0.3.2.json</x:v>
      </x:c>
    </x:row>
    <x:row r="344">
      <x:c r="A344" s="16" t="n">
        <x:v>343</x:v>
      </x:c>
      <x:c r="B344" s="14" t="str">
        <x:v>派生 Key</x:v>
      </x:c>
      <x:c r="C344" s="14" t="str">
        <x:v>minCollateralFactorForOpenInterestMultiplierKey</x:v>
      </x:c>
      <x:c r="D344" s="14" t="str">
        <x:v>MIN_COLLATERAL_FACTOR_FOR_OPEN_INTEREST_MULTIPLIER</x:v>
      </x:c>
      <x:c r="E344" s="14" t="str">
        <x:v>MIN_COLLATERAL_FACTOR_FOR_OPEN_INTEREST_MULTIPLIER</x:v>
      </x:c>
      <x:c r="F344" s="14" t="str"/>
      <x:c r="G344" s="14" t="str">
        <x:v>keccak256(abi.encode(BASE,...args))</x:v>
      </x:c>
      <x:c r="H344" s="14" t="str">
        <x:v>uint256 marketIndex [market], bool isLong [bool]</x:v>
      </x:c>
      <x:c r="I344" s="14" t="str">
        <x:v>uint</x:v>
      </x:c>
      <x:c r="J344" s="14" t="str">
        <x:v>market + bool</x:v>
      </x:c>
      <x:c r="K344" s="16" t="str">
        <x:v>是</x:v>
      </x:c>
      <x:c r="L344" s="16" t="str">
        <x:v>否</x:v>
      </x:c>
      <x:c r="M344" s="14" t="str">
        <x:v>Config(CONFIG_KEEPER)</x:v>
      </x:c>
      <x:c r="N344" s="14" t="str">
        <x:v>沿用/见变更表</x:v>
      </x:c>
      <x:c r="O344" s="14" t="str">
        <x:v>FX100Keys.sol / Config.sol / registry-v0.3.2.json</x:v>
      </x:c>
    </x:row>
    <x:row r="345">
      <x:c r="A345" s="16" t="n">
        <x:v>344</x:v>
      </x:c>
      <x:c r="B345" s="14" t="str">
        <x:v>派生 Key</x:v>
      </x:c>
      <x:c r="C345" s="14" t="str">
        <x:v>minCollateralFactorForLiquidationKey</x:v>
      </x:c>
      <x:c r="D345" s="14" t="str">
        <x:v>MIN_COLLATERAL_FACTOR_FOR_LIQUIDATION</x:v>
      </x:c>
      <x:c r="E345" s="14" t="str">
        <x:v>MIN_COLLATERAL_FACTOR_FOR_LIQUIDATION</x:v>
      </x:c>
      <x:c r="F345" s="14" t="str"/>
      <x:c r="G345" s="14" t="str">
        <x:v>keccak256(abi.encode(BASE,...args))</x:v>
      </x:c>
      <x:c r="H345" s="14" t="str">
        <x:v>uint256 marketIndex [market]</x:v>
      </x:c>
      <x:c r="I345" s="14" t="str">
        <x:v>uint</x:v>
      </x:c>
      <x:c r="J345" s="14" t="str">
        <x:v>market</x:v>
      </x:c>
      <x:c r="K345" s="16" t="str">
        <x:v>是</x:v>
      </x:c>
      <x:c r="L345" s="16" t="str">
        <x:v>否</x:v>
      </x:c>
      <x:c r="M345" s="14" t="str">
        <x:v>Config(CONFIG_KEEPER)</x:v>
      </x:c>
      <x:c r="N345" s="14" t="str">
        <x:v>沿用/见变更表</x:v>
      </x:c>
      <x:c r="O345" s="14" t="str">
        <x:v>FX100Keys.sol / Config.sol / registry-v0.3.2.json</x:v>
      </x:c>
    </x:row>
    <x:row r="346">
      <x:c r="A346" s="16" t="n">
        <x:v>345</x:v>
      </x:c>
      <x:c r="B346" s="14" t="str">
        <x:v>派生 Key</x:v>
      </x:c>
      <x:c r="C346" s="14" t="str">
        <x:v>virtualTokenIdKey</x:v>
      </x:c>
      <x:c r="D346" s="14" t="str">
        <x:v>VIRTUAL_TOKEN_ID</x:v>
      </x:c>
      <x:c r="E346" s="14" t="str">
        <x:v>VIRTUAL_TOKEN_ID</x:v>
      </x:c>
      <x:c r="F346" s="14" t="str"/>
      <x:c r="G346" s="14" t="str">
        <x:v>keccak256(abi.encode(BASE,...args))</x:v>
      </x:c>
      <x:c r="H346" s="14" t="str">
        <x:v>address token [token]</x:v>
      </x:c>
      <x:c r="I346" s="14" t="str"/>
      <x:c r="J346" s="14" t="str">
        <x:v>token</x:v>
      </x:c>
      <x:c r="K346" s="16" t="str">
        <x:v>是</x:v>
      </x:c>
      <x:c r="L346" s="16" t="str">
        <x:v>否</x:v>
      </x:c>
      <x:c r="M346" s="14" t="str">
        <x:v>Config(CONFIG_KEEPER)</x:v>
      </x:c>
      <x:c r="N346" s="14" t="str">
        <x:v>沿用/见变更表</x:v>
      </x:c>
      <x:c r="O346" s="14" t="str">
        <x:v>FX100Keys.sol / Config.sol / registry-v0.3.2.json</x:v>
      </x:c>
    </x:row>
    <x:row r="347">
      <x:c r="A347" s="16" t="n">
        <x:v>346</x:v>
      </x:c>
      <x:c r="B347" s="14" t="str">
        <x:v>派生 Key</x:v>
      </x:c>
      <x:c r="C347" s="14" t="str">
        <x:v>virtualMarketIdKey</x:v>
      </x:c>
      <x:c r="D347" s="14" t="str">
        <x:v>VIRTUAL_MARKET_ID</x:v>
      </x:c>
      <x:c r="E347" s="14" t="str">
        <x:v>VIRTUAL_MARKET_ID</x:v>
      </x:c>
      <x:c r="F347" s="14" t="str"/>
      <x:c r="G347" s="14" t="str">
        <x:v>keccak256(abi.encode(BASE,...args))</x:v>
      </x:c>
      <x:c r="H347" s="14" t="str">
        <x:v>uint256 marketIndex [market]</x:v>
      </x:c>
      <x:c r="I347" s="14" t="str"/>
      <x:c r="J347" s="14" t="str">
        <x:v>market</x:v>
      </x:c>
      <x:c r="K347" s="16" t="str">
        <x:v>是</x:v>
      </x:c>
      <x:c r="L347" s="16" t="str">
        <x:v>否</x:v>
      </x:c>
      <x:c r="M347" s="14" t="str">
        <x:v>Config(CONFIG_KEEPER)</x:v>
      </x:c>
      <x:c r="N347" s="14" t="str">
        <x:v>沿用/见变更表</x:v>
      </x:c>
      <x:c r="O347" s="14" t="str">
        <x:v>FX100Keys.sol / Config.sol / registry-v0.3.2.json</x:v>
      </x:c>
    </x:row>
    <x:row r="348">
      <x:c r="A348" s="16" t="n">
        <x:v>347</x:v>
      </x:c>
      <x:c r="B348" s="14" t="str">
        <x:v>派生 Key</x:v>
      </x:c>
      <x:c r="C348" s="14" t="str">
        <x:v>virtualInventoryForPositionsKey</x:v>
      </x:c>
      <x:c r="D348" s="14" t="str">
        <x:v>VIRTUAL_INVENTORY_FOR_POSITIONS</x:v>
      </x:c>
      <x:c r="E348" s="14" t="str">
        <x:v>VIRTUAL_INVENTORY_FOR_POSITIONS</x:v>
      </x:c>
      <x:c r="F348" s="14" t="str"/>
      <x:c r="G348" s="14" t="str">
        <x:v>keccak256(abi.encode(BASE,...args))</x:v>
      </x:c>
      <x:c r="H348" s="14" t="str">
        <x:v>bytes32 virtualTokenId [virtualTokenId]</x:v>
      </x:c>
      <x:c r="I348" s="14" t="str"/>
      <x:c r="J348" s="14" t="str">
        <x:v>virtualTokenId</x:v>
      </x:c>
      <x:c r="K348" s="16" t="str">
        <x:v>是</x:v>
      </x:c>
      <x:c r="L348" s="16" t="str">
        <x:v>否</x:v>
      </x:c>
      <x:c r="M348" s="14" t="str">
        <x:v>Config(CONFIG_KEEPER)</x:v>
      </x:c>
      <x:c r="N348" s="14" t="str">
        <x:v>沿用/见变更表</x:v>
      </x:c>
      <x:c r="O348" s="14" t="str">
        <x:v>FX100Keys.sol / Config.sol / registry-v0.3.2.json</x:v>
      </x:c>
    </x:row>
    <x:row r="349">
      <x:c r="A349" s="16" t="n">
        <x:v>348</x:v>
      </x:c>
      <x:c r="B349" s="14" t="str">
        <x:v>派生 Key</x:v>
      </x:c>
      <x:c r="C349" s="14" t="str">
        <x:v>virtualInventoryForPositionsInTokensKey</x:v>
      </x:c>
      <x:c r="D349" s="14" t="str">
        <x:v>VIRTUAL_INVENTORY_FOR_POSITIONS_IN_TOKENS</x:v>
      </x:c>
      <x:c r="E349" s="14" t="str">
        <x:v>VIRTUAL_INVENTORY_FOR_POSITIONS_IN_TOKENS</x:v>
      </x:c>
      <x:c r="F349" s="14" t="str"/>
      <x:c r="G349" s="14" t="str">
        <x:v>keccak256(abi.encode(BASE,...args))</x:v>
      </x:c>
      <x:c r="H349" s="14" t="str">
        <x:v>bytes32 virtualTokenId [virtualTokenId]</x:v>
      </x:c>
      <x:c r="I349" s="14" t="str"/>
      <x:c r="J349" s="14" t="str">
        <x:v>virtualTokenId</x:v>
      </x:c>
      <x:c r="K349" s="16" t="str">
        <x:v>是</x:v>
      </x:c>
      <x:c r="L349" s="16" t="str">
        <x:v>否</x:v>
      </x:c>
      <x:c r="M349" s="14" t="str">
        <x:v>Config(CONFIG_KEEPER)</x:v>
      </x:c>
      <x:c r="N349" s="14" t="str">
        <x:v>沿用/见变更表</x:v>
      </x:c>
      <x:c r="O349" s="14" t="str">
        <x:v>FX100Keys.sol / Config.sol / registry-v0.3.2.json</x:v>
      </x:c>
    </x:row>
    <x:row r="350">
      <x:c r="A350" s="16" t="n">
        <x:v>349</x:v>
      </x:c>
      <x:c r="B350" s="14" t="str">
        <x:v>派生 Key</x:v>
      </x:c>
      <x:c r="C350" s="14" t="str">
        <x:v>virtualInventoryForSwapsKey</x:v>
      </x:c>
      <x:c r="D350" s="14" t="str">
        <x:v>VIRTUAL_INVENTORY_FOR_SWAPS</x:v>
      </x:c>
      <x:c r="E350" s="14" t="str">
        <x:v>VIRTUAL_INVENTORY_FOR_SWAPS</x:v>
      </x:c>
      <x:c r="F350" s="14" t="str"/>
      <x:c r="G350" s="14" t="str">
        <x:v>keccak256(abi.encode(BASE,...args))</x:v>
      </x:c>
      <x:c r="H350" s="14" t="str">
        <x:v>bytes32 virtualMarketId [virtualMarketId], bool isLongToken [bool]</x:v>
      </x:c>
      <x:c r="I350" s="14" t="str"/>
      <x:c r="J350" s="14" t="str">
        <x:v>virtualMarketId + bool</x:v>
      </x:c>
      <x:c r="K350" s="16" t="str">
        <x:v>是</x:v>
      </x:c>
      <x:c r="L350" s="16" t="str">
        <x:v>否</x:v>
      </x:c>
      <x:c r="M350" s="14" t="str">
        <x:v>Config(CONFIG_KEEPER)</x:v>
      </x:c>
      <x:c r="N350" s="14" t="str">
        <x:v>沿用/见变更表</x:v>
      </x:c>
      <x:c r="O350" s="14" t="str">
        <x:v>FX100Keys.sol / Config.sol / registry-v0.3.2.json</x:v>
      </x:c>
    </x:row>
    <x:row r="351">
      <x:c r="A351" s="16" t="n">
        <x:v>350</x:v>
      </x:c>
      <x:c r="B351" s="14" t="str">
        <x:v>派生 Key</x:v>
      </x:c>
      <x:c r="C351" s="14" t="str">
        <x:v>positionImpactFactorKey</x:v>
      </x:c>
      <x:c r="D351" s="14" t="str">
        <x:v>POSITION_IMPACT_FACTOR</x:v>
      </x:c>
      <x:c r="E351" s="14" t="str">
        <x:v>POSITION_IMPACT_FACTOR</x:v>
      </x:c>
      <x:c r="F351" s="14" t="str"/>
      <x:c r="G351" s="14" t="str">
        <x:v>keccak256(abi.encode(BASE,...args))</x:v>
      </x:c>
      <x:c r="H351" s="14" t="str">
        <x:v>uint256 marketIndex [market], bool isPositive [bool]</x:v>
      </x:c>
      <x:c r="I351" s="14" t="str"/>
      <x:c r="J351" s="14" t="str">
        <x:v>market + bool</x:v>
      </x:c>
      <x:c r="K351" s="16" t="str">
        <x:v>是</x:v>
      </x:c>
      <x:c r="L351" s="16" t="str">
        <x:v>否</x:v>
      </x:c>
      <x:c r="M351" s="14" t="str">
        <x:v>Config(CONFIG_KEEPER)</x:v>
      </x:c>
      <x:c r="N351" s="14" t="str">
        <x:v>沿用/见变更表</x:v>
      </x:c>
      <x:c r="O351" s="14" t="str">
        <x:v>FX100Keys.sol / Config.sol / registry-v0.3.2.json</x:v>
      </x:c>
    </x:row>
    <x:row r="352">
      <x:c r="A352" s="16" t="n">
        <x:v>351</x:v>
      </x:c>
      <x:c r="B352" s="14" t="str">
        <x:v>派生 Key</x:v>
      </x:c>
      <x:c r="C352" s="14" t="str">
        <x:v>maxPositionImpactFactorKey</x:v>
      </x:c>
      <x:c r="D352" s="14" t="str">
        <x:v>MAX_POSITION_IMPACT_FACTOR</x:v>
      </x:c>
      <x:c r="E352" s="14" t="str">
        <x:v>MAX_POSITION_IMPACT_FACTOR</x:v>
      </x:c>
      <x:c r="F352" s="14" t="str"/>
      <x:c r="G352" s="14" t="str">
        <x:v>keccak256(abi.encode(BASE,...args))</x:v>
      </x:c>
      <x:c r="H352" s="14" t="str">
        <x:v>uint256 marketIndex [market], bool isPositive [bool]</x:v>
      </x:c>
      <x:c r="I352" s="14" t="str">
        <x:v>uint</x:v>
      </x:c>
      <x:c r="J352" s="14" t="str">
        <x:v>market + bool</x:v>
      </x:c>
      <x:c r="K352" s="16" t="str">
        <x:v>是</x:v>
      </x:c>
      <x:c r="L352" s="16" t="str">
        <x:v>否</x:v>
      </x:c>
      <x:c r="M352" s="14" t="str">
        <x:v>Config(CONFIG_KEEPER)</x:v>
      </x:c>
      <x:c r="N352" s="14" t="str">
        <x:v>沿用/见变更表</x:v>
      </x:c>
      <x:c r="O352" s="14" t="str">
        <x:v>FX100Keys.sol / Config.sol / registry-v0.3.2.json</x:v>
      </x:c>
    </x:row>
    <x:row r="353">
      <x:c r="A353" s="16" t="n">
        <x:v>352</x:v>
      </x:c>
      <x:c r="B353" s="14" t="str">
        <x:v>派生 Key</x:v>
      </x:c>
      <x:c r="C353" s="14" t="str">
        <x:v>maxPositionImpactFactorForLiquidationsKey</x:v>
      </x:c>
      <x:c r="D353" s="14" t="str">
        <x:v>MAX_POSITION_IMPACT_FACTOR_FOR_LIQUIDATIONS</x:v>
      </x:c>
      <x:c r="E353" s="14" t="str">
        <x:v>MAX_POSITION_IMPACT_FACTOR_FOR_LIQUIDATIONS</x:v>
      </x:c>
      <x:c r="F353" s="14" t="str"/>
      <x:c r="G353" s="14" t="str">
        <x:v>keccak256(abi.encode(BASE,...args))</x:v>
      </x:c>
      <x:c r="H353" s="14" t="str">
        <x:v>uint256 marketIndex [market]</x:v>
      </x:c>
      <x:c r="I353" s="14" t="str">
        <x:v>uint</x:v>
      </x:c>
      <x:c r="J353" s="14" t="str">
        <x:v>market</x:v>
      </x:c>
      <x:c r="K353" s="16" t="str">
        <x:v>是</x:v>
      </x:c>
      <x:c r="L353" s="16" t="str">
        <x:v>否</x:v>
      </x:c>
      <x:c r="M353" s="14" t="str">
        <x:v>Config(CONFIG_KEEPER)</x:v>
      </x:c>
      <x:c r="N353" s="14" t="str">
        <x:v>沿用/见变更表</x:v>
      </x:c>
      <x:c r="O353" s="14" t="str">
        <x:v>FX100Keys.sol / Config.sol / registry-v0.3.2.json</x:v>
      </x:c>
    </x:row>
    <x:row r="354">
      <x:c r="A354" s="16" t="n">
        <x:v>353</x:v>
      </x:c>
      <x:c r="B354" s="14" t="str">
        <x:v>派生 Key</x:v>
      </x:c>
      <x:c r="C354" s="14" t="str">
        <x:v>positionFeeFactorKey</x:v>
      </x:c>
      <x:c r="D354" s="14" t="str">
        <x:v>POSITION_FEE_FACTOR</x:v>
      </x:c>
      <x:c r="E354" s="14" t="str">
        <x:v>POSITION_FEE_FACTOR</x:v>
      </x:c>
      <x:c r="F354" s="14" t="str"/>
      <x:c r="G354" s="14" t="str">
        <x:v>keccak256(abi.encode(BASE,...args))</x:v>
      </x:c>
      <x:c r="H354" s="14" t="str">
        <x:v>uint256 marketIndex [market], bool balanceWasImproved [bool]</x:v>
      </x:c>
      <x:c r="I354" s="14" t="str">
        <x:v>uint</x:v>
      </x:c>
      <x:c r="J354" s="14" t="str">
        <x:v>market + bool</x:v>
      </x:c>
      <x:c r="K354" s="16" t="str">
        <x:v>是</x:v>
      </x:c>
      <x:c r="L354" s="16" t="str">
        <x:v>否</x:v>
      </x:c>
      <x:c r="M354" s="14" t="str">
        <x:v>Config(CONFIG_KEEPER)</x:v>
      </x:c>
      <x:c r="N354" s="14" t="str">
        <x:v>沿用/见变更表</x:v>
      </x:c>
      <x:c r="O354" s="14" t="str">
        <x:v>FX100Keys.sol / Config.sol / registry-v0.3.2.json</x:v>
      </x:c>
    </x:row>
    <x:row r="355">
      <x:c r="A355" s="16" t="n">
        <x:v>354</x:v>
      </x:c>
      <x:c r="B355" s="14" t="str">
        <x:v>派生 Key</x:v>
      </x:c>
      <x:c r="C355" s="14" t="str">
        <x:v>proTraderTierKey</x:v>
      </x:c>
      <x:c r="D355" s="14" t="str">
        <x:v>PRO_TRADER_TIER</x:v>
      </x:c>
      <x:c r="E355" s="14" t="str">
        <x:v>PRO_TRADER_TIER</x:v>
      </x:c>
      <x:c r="F355" s="14" t="str"/>
      <x:c r="G355" s="14" t="str">
        <x:v>keccak256(abi.encode(BASE,...args))</x:v>
      </x:c>
      <x:c r="H355" s="14" t="str">
        <x:v>address account [account]</x:v>
      </x:c>
      <x:c r="I355" s="14" t="str">
        <x:v>uint</x:v>
      </x:c>
      <x:c r="J355" s="14" t="str">
        <x:v>account</x:v>
      </x:c>
      <x:c r="K355" s="16" t="str">
        <x:v>是</x:v>
      </x:c>
      <x:c r="L355" s="16" t="str">
        <x:v>是</x:v>
      </x:c>
      <x:c r="M355" s="14" t="str">
        <x:v>Config(CONFIG_KEEPER) / Config(LIMITED_CONFIG_KEEPER)</x:v>
      </x:c>
      <x:c r="N355" s="14" t="str">
        <x:v>沿用/见变更表</x:v>
      </x:c>
      <x:c r="O355" s="14" t="str">
        <x:v>FX100Keys.sol / Config.sol / registry-v0.3.2.json</x:v>
      </x:c>
    </x:row>
    <x:row r="356">
      <x:c r="A356" s="16" t="n">
        <x:v>355</x:v>
      </x:c>
      <x:c r="B356" s="14" t="str">
        <x:v>派生 Key</x:v>
      </x:c>
      <x:c r="C356" s="14" t="str">
        <x:v>proDiscountFactorKey</x:v>
      </x:c>
      <x:c r="D356" s="14" t="str">
        <x:v>PRO_DISCOUNT_FACTOR</x:v>
      </x:c>
      <x:c r="E356" s="14" t="str">
        <x:v>PRO_DISCOUNT_FACTOR</x:v>
      </x:c>
      <x:c r="F356" s="14" t="str"/>
      <x:c r="G356" s="14" t="str">
        <x:v>keccak256(abi.encode(BASE,...args))</x:v>
      </x:c>
      <x:c r="H356" s="14" t="str">
        <x:v>uint256 proTier [proTier]</x:v>
      </x:c>
      <x:c r="I356" s="14" t="str">
        <x:v>uint</x:v>
      </x:c>
      <x:c r="J356" s="14" t="str">
        <x:v>proTier</x:v>
      </x:c>
      <x:c r="K356" s="16" t="str">
        <x:v>是</x:v>
      </x:c>
      <x:c r="L356" s="16" t="str">
        <x:v>否</x:v>
      </x:c>
      <x:c r="M356" s="14" t="str">
        <x:v>Config(CONFIG_KEEPER)</x:v>
      </x:c>
      <x:c r="N356" s="14" t="str">
        <x:v>沿用/见变更表</x:v>
      </x:c>
      <x:c r="O356" s="14" t="str">
        <x:v>FX100Keys.sol / Config.sol / registry-v0.3.2.json</x:v>
      </x:c>
    </x:row>
    <x:row r="357">
      <x:c r="A357" s="16" t="n">
        <x:v>356</x:v>
      </x:c>
      <x:c r="B357" s="14" t="str">
        <x:v>派生 Key</x:v>
      </x:c>
      <x:c r="C357" s="14" t="str">
        <x:v>liquidationFeeFactorKey</x:v>
      </x:c>
      <x:c r="D357" s="14" t="str">
        <x:v>LIQUIDATION_FEE_FACTOR</x:v>
      </x:c>
      <x:c r="E357" s="14" t="str">
        <x:v>LIQUIDATION_FEE_FACTOR</x:v>
      </x:c>
      <x:c r="F357" s="14" t="str"/>
      <x:c r="G357" s="14" t="str">
        <x:v>keccak256(abi.encode(BASE,...args))</x:v>
      </x:c>
      <x:c r="H357" s="14" t="str">
        <x:v>uint256 marketIndex [market]</x:v>
      </x:c>
      <x:c r="I357" s="14" t="str">
        <x:v>uint</x:v>
      </x:c>
      <x:c r="J357" s="14" t="str">
        <x:v>market</x:v>
      </x:c>
      <x:c r="K357" s="16" t="str">
        <x:v>是</x:v>
      </x:c>
      <x:c r="L357" s="16" t="str">
        <x:v>否</x:v>
      </x:c>
      <x:c r="M357" s="14" t="str">
        <x:v>Config(CONFIG_KEEPER)</x:v>
      </x:c>
      <x:c r="N357" s="14" t="str">
        <x:v>沿用/见变更表</x:v>
      </x:c>
      <x:c r="O357" s="14" t="str">
        <x:v>FX100Keys.sol / Config.sol / registry-v0.3.2.json</x:v>
      </x:c>
    </x:row>
    <x:row r="358">
      <x:c r="A358" s="16" t="n">
        <x:v>357</x:v>
      </x:c>
      <x:c r="B358" s="14" t="str">
        <x:v>派生 Key</x:v>
      </x:c>
      <x:c r="C358" s="14" t="str">
        <x:v>swapImpactFactorKey</x:v>
      </x:c>
      <x:c r="D358" s="14" t="str">
        <x:v>SWAP_IMPACT_FACTOR</x:v>
      </x:c>
      <x:c r="E358" s="14" t="str">
        <x:v>SWAP_IMPACT_FACTOR</x:v>
      </x:c>
      <x:c r="F358" s="14" t="str"/>
      <x:c r="G358" s="14" t="str">
        <x:v>keccak256(abi.encode(BASE,...args))</x:v>
      </x:c>
      <x:c r="H358" s="14" t="str">
        <x:v>uint256 marketIndex [market], bool isPositive [bool]</x:v>
      </x:c>
      <x:c r="I358" s="14" t="str"/>
      <x:c r="J358" s="14" t="str">
        <x:v>market + bool</x:v>
      </x:c>
      <x:c r="K358" s="16" t="str">
        <x:v>是</x:v>
      </x:c>
      <x:c r="L358" s="16" t="str">
        <x:v>否</x:v>
      </x:c>
      <x:c r="M358" s="14" t="str">
        <x:v>Config(CONFIG_KEEPER)</x:v>
      </x:c>
      <x:c r="N358" s="14" t="str">
        <x:v>沿用/见变更表</x:v>
      </x:c>
      <x:c r="O358" s="14" t="str">
        <x:v>FX100Keys.sol / Config.sol / registry-v0.3.2.json</x:v>
      </x:c>
    </x:row>
    <x:row r="359">
      <x:c r="A359" s="16" t="n">
        <x:v>358</x:v>
      </x:c>
      <x:c r="B359" s="14" t="str">
        <x:v>派生 Key</x:v>
      </x:c>
      <x:c r="C359" s="14" t="str">
        <x:v>swapImpactExponentFactorKey</x:v>
      </x:c>
      <x:c r="D359" s="14" t="str">
        <x:v>SWAP_IMPACT_EXPONENT_FACTOR</x:v>
      </x:c>
      <x:c r="E359" s="14" t="str">
        <x:v>SWAP_IMPACT_EXPONENT_FACTOR</x:v>
      </x:c>
      <x:c r="F359" s="14" t="str"/>
      <x:c r="G359" s="14" t="str">
        <x:v>keccak256(abi.encode(BASE,...args))</x:v>
      </x:c>
      <x:c r="H359" s="14" t="str">
        <x:v>uint256 marketIndex [market]</x:v>
      </x:c>
      <x:c r="I359" s="14" t="str"/>
      <x:c r="J359" s="14" t="str">
        <x:v>market</x:v>
      </x:c>
      <x:c r="K359" s="16" t="str">
        <x:v>是</x:v>
      </x:c>
      <x:c r="L359" s="16" t="str">
        <x:v>否</x:v>
      </x:c>
      <x:c r="M359" s="14" t="str">
        <x:v>Config(CONFIG_KEEPER)</x:v>
      </x:c>
      <x:c r="N359" s="14" t="str">
        <x:v>沿用/见变更表</x:v>
      </x:c>
      <x:c r="O359" s="14" t="str">
        <x:v>FX100Keys.sol / Config.sol / registry-v0.3.2.json</x:v>
      </x:c>
    </x:row>
    <x:row r="360">
      <x:c r="A360" s="16" t="n">
        <x:v>359</x:v>
      </x:c>
      <x:c r="B360" s="14" t="str">
        <x:v>派生 Key</x:v>
      </x:c>
      <x:c r="C360" s="14" t="str">
        <x:v>swapFeeFactorKey</x:v>
      </x:c>
      <x:c r="D360" s="14" t="str">
        <x:v>SWAP_FEE_FACTOR</x:v>
      </x:c>
      <x:c r="E360" s="14" t="str">
        <x:v>SWAP_FEE_FACTOR</x:v>
      </x:c>
      <x:c r="F360" s="14" t="str"/>
      <x:c r="G360" s="14" t="str">
        <x:v>keccak256(abi.encode(BASE,...args))</x:v>
      </x:c>
      <x:c r="H360" s="14" t="str">
        <x:v>uint256 marketIndex [market], bool balanceWasImproved [bool]</x:v>
      </x:c>
      <x:c r="I360" s="14" t="str"/>
      <x:c r="J360" s="14" t="str">
        <x:v>market + bool</x:v>
      </x:c>
      <x:c r="K360" s="16" t="str">
        <x:v>是</x:v>
      </x:c>
      <x:c r="L360" s="16" t="str">
        <x:v>否</x:v>
      </x:c>
      <x:c r="M360" s="14" t="str">
        <x:v>Config(CONFIG_KEEPER)</x:v>
      </x:c>
      <x:c r="N360" s="14" t="str">
        <x:v>沿用/见变更表</x:v>
      </x:c>
      <x:c r="O360" s="14" t="str">
        <x:v>FX100Keys.sol / Config.sol / registry-v0.3.2.json</x:v>
      </x:c>
    </x:row>
    <x:row r="361">
      <x:c r="A361" s="16" t="n">
        <x:v>360</x:v>
      </x:c>
      <x:c r="B361" s="14" t="str">
        <x:v>派生 Key</x:v>
      </x:c>
      <x:c r="C361" s="14" t="str">
        <x:v>atomicSwapFeeFactorKey</x:v>
      </x:c>
      <x:c r="D361" s="14" t="str">
        <x:v>ATOMIC_SWAP_FEE_FACTOR</x:v>
      </x:c>
      <x:c r="E361" s="14" t="str">
        <x:v>ATOMIC_SWAP_FEE_FACTOR</x:v>
      </x:c>
      <x:c r="F361" s="14" t="str"/>
      <x:c r="G361" s="14" t="str">
        <x:v>keccak256(abi.encode(BASE,...args))</x:v>
      </x:c>
      <x:c r="H361" s="14" t="str">
        <x:v>uint256 marketIndex [market]</x:v>
      </x:c>
      <x:c r="I361" s="14" t="str"/>
      <x:c r="J361" s="14" t="str">
        <x:v>market</x:v>
      </x:c>
      <x:c r="K361" s="16" t="str">
        <x:v>是</x:v>
      </x:c>
      <x:c r="L361" s="16" t="str">
        <x:v>否</x:v>
      </x:c>
      <x:c r="M361" s="14" t="str">
        <x:v>Config(CONFIG_KEEPER)</x:v>
      </x:c>
      <x:c r="N361" s="14" t="str">
        <x:v>沿用/见变更表</x:v>
      </x:c>
      <x:c r="O361" s="14" t="str">
        <x:v>FX100Keys.sol / Config.sol / registry-v0.3.2.json</x:v>
      </x:c>
    </x:row>
    <x:row r="362">
      <x:c r="A362" s="16" t="n">
        <x:v>361</x:v>
      </x:c>
      <x:c r="B362" s="14" t="str">
        <x:v>派生 Key</x:v>
      </x:c>
      <x:c r="C362" s="14" t="str">
        <x:v>atomicWithdrawalFeeFactorKey</x:v>
      </x:c>
      <x:c r="D362" s="14" t="str">
        <x:v>ATOMIC_WITHDRAWAL_FEE_FACTOR</x:v>
      </x:c>
      <x:c r="E362" s="14" t="str">
        <x:v>ATOMIC_WITHDRAWAL_FEE_FACTOR</x:v>
      </x:c>
      <x:c r="F362" s="14" t="str"/>
      <x:c r="G362" s="14" t="str">
        <x:v>keccak256(abi.encode(BASE,...args))</x:v>
      </x:c>
      <x:c r="H362" s="14" t="str">
        <x:v>uint256 marketIndex [market]</x:v>
      </x:c>
      <x:c r="I362" s="14" t="str"/>
      <x:c r="J362" s="14" t="str">
        <x:v>market</x:v>
      </x:c>
      <x:c r="K362" s="16" t="str">
        <x:v>是</x:v>
      </x:c>
      <x:c r="L362" s="16" t="str">
        <x:v>否</x:v>
      </x:c>
      <x:c r="M362" s="14" t="str">
        <x:v>Config(CONFIG_KEEPER)</x:v>
      </x:c>
      <x:c r="N362" s="14" t="str">
        <x:v>沿用/见变更表</x:v>
      </x:c>
      <x:c r="O362" s="14" t="str">
        <x:v>FX100Keys.sol / Config.sol / registry-v0.3.2.json</x:v>
      </x:c>
    </x:row>
    <x:row r="363">
      <x:c r="A363" s="16" t="n">
        <x:v>362</x:v>
      </x:c>
      <x:c r="B363" s="14" t="str">
        <x:v>派生 Key</x:v>
      </x:c>
      <x:c r="C363" s="14" t="str">
        <x:v>depositFeeFactorKey</x:v>
      </x:c>
      <x:c r="D363" s="14" t="str">
        <x:v>DEPOSIT_FEE_FACTOR</x:v>
      </x:c>
      <x:c r="E363" s="14" t="str">
        <x:v>DEPOSIT_FEE_FACTOR</x:v>
      </x:c>
      <x:c r="F363" s="14" t="str"/>
      <x:c r="G363" s="14" t="str">
        <x:v>keccak256(abi.encode(BASE,...args))</x:v>
      </x:c>
      <x:c r="H363" s="14" t="str">
        <x:v>uint256 marketIndex [market], bool balanceWasImproved [bool]</x:v>
      </x:c>
      <x:c r="I363" s="14" t="str"/>
      <x:c r="J363" s="14" t="str">
        <x:v>market + bool</x:v>
      </x:c>
      <x:c r="K363" s="16" t="str">
        <x:v>是</x:v>
      </x:c>
      <x:c r="L363" s="16" t="str">
        <x:v>否</x:v>
      </x:c>
      <x:c r="M363" s="14" t="str">
        <x:v>Config(CONFIG_KEEPER)</x:v>
      </x:c>
      <x:c r="N363" s="14" t="str">
        <x:v>沿用/见变更表</x:v>
      </x:c>
      <x:c r="O363" s="14" t="str">
        <x:v>FX100Keys.sol / Config.sol / registry-v0.3.2.json</x:v>
      </x:c>
    </x:row>
    <x:row r="364">
      <x:c r="A364" s="16" t="n">
        <x:v>363</x:v>
      </x:c>
      <x:c r="B364" s="14" t="str">
        <x:v>派生 Key</x:v>
      </x:c>
      <x:c r="C364" s="14" t="str">
        <x:v>withdrawalFeeFactorKey</x:v>
      </x:c>
      <x:c r="D364" s="14" t="str">
        <x:v>WITHDRAWAL_FEE_FACTOR</x:v>
      </x:c>
      <x:c r="E364" s="14" t="str">
        <x:v>WITHDRAWAL_FEE_FACTOR</x:v>
      </x:c>
      <x:c r="F364" s="14" t="str"/>
      <x:c r="G364" s="14" t="str">
        <x:v>keccak256(abi.encode(BASE,...args))</x:v>
      </x:c>
      <x:c r="H364" s="14" t="str">
        <x:v>uint256 marketIndex [market], bool balanceWasImproved [bool]</x:v>
      </x:c>
      <x:c r="I364" s="14" t="str"/>
      <x:c r="J364" s="14" t="str">
        <x:v>market + bool</x:v>
      </x:c>
      <x:c r="K364" s="16" t="str">
        <x:v>是</x:v>
      </x:c>
      <x:c r="L364" s="16" t="str">
        <x:v>否</x:v>
      </x:c>
      <x:c r="M364" s="14" t="str">
        <x:v>Config(CONFIG_KEEPER)</x:v>
      </x:c>
      <x:c r="N364" s="14" t="str">
        <x:v>沿用/见变更表</x:v>
      </x:c>
      <x:c r="O364" s="14" t="str">
        <x:v>FX100Keys.sol / Config.sol / registry-v0.3.2.json</x:v>
      </x:c>
    </x:row>
    <x:row r="365">
      <x:c r="A365" s="16" t="n">
        <x:v>364</x:v>
      </x:c>
      <x:c r="B365" s="14" t="str">
        <x:v>派生 Key</x:v>
      </x:c>
      <x:c r="C365" s="14" t="str">
        <x:v>oracleTypeKey</x:v>
      </x:c>
      <x:c r="D365" s="14" t="str">
        <x:v>ORACLE_TYPE</x:v>
      </x:c>
      <x:c r="E365" s="14" t="str">
        <x:v>ORACLE_TYPE</x:v>
      </x:c>
      <x:c r="F365" s="14" t="str"/>
      <x:c r="G365" s="14" t="str">
        <x:v>keccak256(abi.encode(BASE,...args))</x:v>
      </x:c>
      <x:c r="H365" s="14" t="str">
        <x:v>address token [token]</x:v>
      </x:c>
      <x:c r="I365" s="14" t="str"/>
      <x:c r="J365" s="14" t="str">
        <x:v>token</x:v>
      </x:c>
      <x:c r="K365" s="16" t="str">
        <x:v>是</x:v>
      </x:c>
      <x:c r="L365" s="16" t="str">
        <x:v>否</x:v>
      </x:c>
      <x:c r="M365" s="14" t="str">
        <x:v>Config(CONFIG_KEEPER)</x:v>
      </x:c>
      <x:c r="N365" s="14" t="str">
        <x:v>沿用/见变更表</x:v>
      </x:c>
      <x:c r="O365" s="14" t="str">
        <x:v>FX100Keys.sol / Config.sol / registry-v0.3.2.json</x:v>
      </x:c>
    </x:row>
    <x:row r="366">
      <x:c r="A366" s="16" t="n">
        <x:v>365</x:v>
      </x:c>
      <x:c r="B366" s="14" t="str">
        <x:v>派生 Key</x:v>
      </x:c>
      <x:c r="C366" s="14" t="str">
        <x:v>minAffiliateRewardFactorKey</x:v>
      </x:c>
      <x:c r="D366" s="14" t="str">
        <x:v>MIN_AFFILIATE_REWARD_FACTOR</x:v>
      </x:c>
      <x:c r="E366" s="14" t="str">
        <x:v>MIN_AFFILIATE_REWARD_FACTOR</x:v>
      </x:c>
      <x:c r="F366" s="14" t="str"/>
      <x:c r="G366" s="14" t="str">
        <x:v>keccak256(abi.encode(BASE,...args))</x:v>
      </x:c>
      <x:c r="H366" s="14" t="str">
        <x:v>uint256 referralTierLevel [referralTier]</x:v>
      </x:c>
      <x:c r="I366" s="14" t="str">
        <x:v>uint</x:v>
      </x:c>
      <x:c r="J366" s="14" t="str">
        <x:v>referralTier</x:v>
      </x:c>
      <x:c r="K366" s="16" t="str">
        <x:v>是</x:v>
      </x:c>
      <x:c r="L366" s="16" t="str">
        <x:v>否</x:v>
      </x:c>
      <x:c r="M366" s="14" t="str">
        <x:v>Config(CONFIG_KEEPER)</x:v>
      </x:c>
      <x:c r="N366" s="14" t="str">
        <x:v>沿用/见变更表</x:v>
      </x:c>
      <x:c r="O366" s="14" t="str">
        <x:v>FX100Keys.sol / Config.sol / registry-v0.3.2.json</x:v>
      </x:c>
    </x:row>
    <x:row r="367">
      <x:c r="A367" s="16" t="n">
        <x:v>366</x:v>
      </x:c>
      <x:c r="B367" s="14" t="str">
        <x:v>派生 Key</x:v>
      </x:c>
      <x:c r="C367" s="14" t="str">
        <x:v>maxAllowedSubaccountActionCountKey</x:v>
      </x:c>
      <x:c r="D367" s="14" t="str">
        <x:v>MAX_ALLOWED_SUBACCOUNT_ACTION_COUNT</x:v>
      </x:c>
      <x:c r="E367" s="14" t="str">
        <x:v>MAX_ALLOWED_SUBACCOUNT_ACTION_COUNT</x:v>
      </x:c>
      <x:c r="F367" s="14" t="str"/>
      <x:c r="G367" s="14" t="str">
        <x:v>keccak256(abi.encode(BASE,...args))</x:v>
      </x:c>
      <x:c r="H367" s="14" t="str">
        <x:v>address account [account], address subaccount [account], bytes32 actionType [subaccountActionType]</x:v>
      </x:c>
      <x:c r="I367" s="14" t="str">
        <x:v>uint</x:v>
      </x:c>
      <x:c r="J367" s="14" t="str">
        <x:v>account + account + subaccountActionType</x:v>
      </x:c>
      <x:c r="K367" s="16" t="str">
        <x:v>否</x:v>
      </x:c>
      <x:c r="L367" s="16" t="str">
        <x:v>否</x:v>
      </x:c>
      <x:c r="M367" s="14" t="str">
        <x:v>DataStore 直写(CONTROLLER)</x:v>
      </x:c>
      <x:c r="N367" s="14" t="str">
        <x:v>沿用/见变更表</x:v>
      </x:c>
      <x:c r="O367" s="14" t="str">
        <x:v>FX100Keys.sol / Config.sol / registry-v0.3.2.json</x:v>
      </x:c>
    </x:row>
    <x:row r="368">
      <x:c r="A368" s="16" t="n">
        <x:v>367</x:v>
      </x:c>
      <x:c r="B368" s="14" t="str">
        <x:v>派生 Key</x:v>
      </x:c>
      <x:c r="C368" s="14" t="str">
        <x:v>subaccountExpiresAtKey</x:v>
      </x:c>
      <x:c r="D368" s="14" t="str">
        <x:v>SUBACCOUNT_EXPIRES_AT</x:v>
      </x:c>
      <x:c r="E368" s="14" t="str">
        <x:v>SUBACCOUNT_EXPIRES_AT</x:v>
      </x:c>
      <x:c r="F368" s="14" t="str"/>
      <x:c r="G368" s="14" t="str">
        <x:v>keccak256(abi.encode(BASE,...args))</x:v>
      </x:c>
      <x:c r="H368" s="14" t="str">
        <x:v>address account [account], address subaccount [account], bytes32 actionType [subaccountActionType]</x:v>
      </x:c>
      <x:c r="I368" s="14" t="str">
        <x:v>uint</x:v>
      </x:c>
      <x:c r="J368" s="14" t="str">
        <x:v>account + account + subaccountActionType</x:v>
      </x:c>
      <x:c r="K368" s="16" t="str">
        <x:v>否</x:v>
      </x:c>
      <x:c r="L368" s="16" t="str">
        <x:v>否</x:v>
      </x:c>
      <x:c r="M368" s="14" t="str">
        <x:v>DataStore 直写(CONTROLLER)</x:v>
      </x:c>
      <x:c r="N368" s="14" t="str">
        <x:v>沿用/见变更表</x:v>
      </x:c>
      <x:c r="O368" s="14" t="str">
        <x:v>FX100Keys.sol / Config.sol / registry-v0.3.2.json</x:v>
      </x:c>
    </x:row>
    <x:row r="369">
      <x:c r="A369" s="16" t="n">
        <x:v>368</x:v>
      </x:c>
      <x:c r="B369" s="14" t="str">
        <x:v>派生 Key</x:v>
      </x:c>
      <x:c r="C369" s="14" t="str">
        <x:v>subaccountActionCountKey</x:v>
      </x:c>
      <x:c r="D369" s="14" t="str">
        <x:v>SUBACCOUNT_ACTION_COUNT</x:v>
      </x:c>
      <x:c r="E369" s="14" t="str">
        <x:v>SUBACCOUNT_ACTION_COUNT</x:v>
      </x:c>
      <x:c r="F369" s="14" t="str"/>
      <x:c r="G369" s="14" t="str">
        <x:v>keccak256(abi.encode(BASE,...args))</x:v>
      </x:c>
      <x:c r="H369" s="14" t="str">
        <x:v>address account [account], address subaccount [account], bytes32 actionType [subaccountActionType]</x:v>
      </x:c>
      <x:c r="I369" s="14" t="str">
        <x:v>uint</x:v>
      </x:c>
      <x:c r="J369" s="14" t="str">
        <x:v>account + account + subaccountActionType</x:v>
      </x:c>
      <x:c r="K369" s="16" t="str">
        <x:v>否</x:v>
      </x:c>
      <x:c r="L369" s="16" t="str">
        <x:v>否</x:v>
      </x:c>
      <x:c r="M369" s="14" t="str">
        <x:v>DataStore 直写(CONTROLLER)</x:v>
      </x:c>
      <x:c r="N369" s="14" t="str">
        <x:v>沿用/见变更表</x:v>
      </x:c>
      <x:c r="O369" s="14" t="str">
        <x:v>FX100Keys.sol / Config.sol / registry-v0.3.2.json</x:v>
      </x:c>
    </x:row>
    <x:row r="370">
      <x:c r="A370" s="16" t="n">
        <x:v>369</x:v>
      </x:c>
      <x:c r="B370" s="14" t="str">
        <x:v>派生 Key</x:v>
      </x:c>
      <x:c r="C370" s="14" t="str">
        <x:v>subaccountAutoTopUpAmountKey</x:v>
      </x:c>
      <x:c r="D370" s="14" t="str">
        <x:v>SUBACCOUNT_AUTO_TOP_UP_AMOUNT</x:v>
      </x:c>
      <x:c r="E370" s="14" t="str">
        <x:v>SUBACCOUNT_AUTO_TOP_UP_AMOUNT</x:v>
      </x:c>
      <x:c r="F370" s="14" t="str"/>
      <x:c r="G370" s="14" t="str">
        <x:v>keccak256(abi.encode(BASE,...args))</x:v>
      </x:c>
      <x:c r="H370" s="14" t="str">
        <x:v>address account [account], address subaccount [account]</x:v>
      </x:c>
      <x:c r="I370" s="14" t="str">
        <x:v>uint</x:v>
      </x:c>
      <x:c r="J370" s="14" t="str">
        <x:v>account + account</x:v>
      </x:c>
      <x:c r="K370" s="16" t="str">
        <x:v>否</x:v>
      </x:c>
      <x:c r="L370" s="16" t="str">
        <x:v>否</x:v>
      </x:c>
      <x:c r="M370" s="14" t="str">
        <x:v>DataStore 直写(CONTROLLER)</x:v>
      </x:c>
      <x:c r="N370" s="14" t="str">
        <x:v>沿用/见变更表</x:v>
      </x:c>
      <x:c r="O370" s="14" t="str">
        <x:v>FX100Keys.sol / Config.sol / registry-v0.3.2.json</x:v>
      </x:c>
    </x:row>
    <x:row r="371">
      <x:c r="A371" s="16" t="n">
        <x:v>370</x:v>
      </x:c>
      <x:c r="B371" s="14" t="str">
        <x:v>派生 Key</x:v>
      </x:c>
      <x:c r="C371" s="14" t="str">
        <x:v>subaccountIntegrationIdKey</x:v>
      </x:c>
      <x:c r="D371" s="14" t="str">
        <x:v>SUBACCOUNT_INTEGRATION_ID</x:v>
      </x:c>
      <x:c r="E371" s="14" t="str">
        <x:v>SUBACCOUNT_INTEGRATION_ID</x:v>
      </x:c>
      <x:c r="F371" s="14" t="str"/>
      <x:c r="G371" s="14" t="str">
        <x:v>keccak256(abi.encode(BASE,...args))</x:v>
      </x:c>
      <x:c r="H371" s="14" t="str">
        <x:v>address account [account], address subaccount [account]</x:v>
      </x:c>
      <x:c r="I371" s="14" t="str">
        <x:v>bytes32</x:v>
      </x:c>
      <x:c r="J371" s="14" t="str">
        <x:v>account + account</x:v>
      </x:c>
      <x:c r="K371" s="16" t="str">
        <x:v>否</x:v>
      </x:c>
      <x:c r="L371" s="16" t="str">
        <x:v>否</x:v>
      </x:c>
      <x:c r="M371" s="14" t="str">
        <x:v>DataStore 直写(CONTROLLER)</x:v>
      </x:c>
      <x:c r="N371" s="14" t="str">
        <x:v>沿用/见变更表</x:v>
      </x:c>
      <x:c r="O371" s="14" t="str">
        <x:v>FX100Keys.sol / Config.sol / registry-v0.3.2.json</x:v>
      </x:c>
    </x:row>
    <x:row r="372">
      <x:c r="A372" s="16" t="n">
        <x:v>371</x:v>
      </x:c>
      <x:c r="B372" s="14" t="str">
        <x:v>派生 Key</x:v>
      </x:c>
      <x:c r="C372" s="14" t="str">
        <x:v>subaccountIntegrationDisabledKey</x:v>
      </x:c>
      <x:c r="D372" s="14" t="str">
        <x:v>SUBACCOUNT_INTEGRATION_DISABLED</x:v>
      </x:c>
      <x:c r="E372" s="14" t="str">
        <x:v>SUBACCOUNT_INTEGRATION_DISABLED</x:v>
      </x:c>
      <x:c r="F372" s="14" t="str"/>
      <x:c r="G372" s="14" t="str">
        <x:v>keccak256(abi.encode(BASE,...args))</x:v>
      </x:c>
      <x:c r="H372" s="14" t="str">
        <x:v>bytes32 integrationId [integrationId]</x:v>
      </x:c>
      <x:c r="I372" s="14" t="str">
        <x:v>bool</x:v>
      </x:c>
      <x:c r="J372" s="14" t="str">
        <x:v>integrationId</x:v>
      </x:c>
      <x:c r="K372" s="16" t="str">
        <x:v>是</x:v>
      </x:c>
      <x:c r="L372" s="16" t="str">
        <x:v>否</x:v>
      </x:c>
      <x:c r="M372" s="14" t="str">
        <x:v>Config(CONFIG_KEEPER)</x:v>
      </x:c>
      <x:c r="N372" s="14" t="str">
        <x:v>沿用/见变更表</x:v>
      </x:c>
      <x:c r="O372" s="14" t="str">
        <x:v>FX100Keys.sol / Config.sol / registry-v0.3.2.json</x:v>
      </x:c>
    </x:row>
    <x:row r="373">
      <x:c r="A373" s="16" t="n">
        <x:v>372</x:v>
      </x:c>
      <x:c r="B373" s="14" t="str">
        <x:v>派生 Key</x:v>
      </x:c>
      <x:c r="C373" s="14" t="str">
        <x:v>affiliateRewardKey</x:v>
      </x:c>
      <x:c r="D373" s="14" t="str">
        <x:v>AFFILIATE_REWARD</x:v>
      </x:c>
      <x:c r="E373" s="14" t="str">
        <x:v>AFFILIATE_REWARD</x:v>
      </x:c>
      <x:c r="F373" s="14" t="str"/>
      <x:c r="G373" s="14" t="str">
        <x:v>keccak256(abi.encode(BASE,...args))</x:v>
      </x:c>
      <x:c r="H373" s="14" t="str">
        <x:v>uint256 marketIndex [market], address token [token], address account [account]</x:v>
      </x:c>
      <x:c r="I373" s="14" t="str"/>
      <x:c r="J373" s="14" t="str">
        <x:v>market + token + account</x:v>
      </x:c>
      <x:c r="K373" s="16" t="str">
        <x:v>否</x:v>
      </x:c>
      <x:c r="L373" s="16" t="str">
        <x:v>否</x:v>
      </x:c>
      <x:c r="M373" s="14" t="str">
        <x:v>DataStore 直写(CONTROLLER)</x:v>
      </x:c>
      <x:c r="N373" s="14" t="str">
        <x:v>沿用/见变更表</x:v>
      </x:c>
      <x:c r="O373" s="14" t="str">
        <x:v>FX100Keys.sol / Config.sol / registry-v0.3.2.json</x:v>
      </x:c>
    </x:row>
    <x:row r="374">
      <x:c r="A374" s="16" t="n">
        <x:v>373</x:v>
      </x:c>
      <x:c r="B374" s="14" t="str">
        <x:v>派生 Key</x:v>
      </x:c>
      <x:c r="C374" s="14" t="str">
        <x:v>isMarketDisabledKey</x:v>
      </x:c>
      <x:c r="D374" s="14" t="str">
        <x:v>IS_MARKET_DISABLED</x:v>
      </x:c>
      <x:c r="E374" s="14" t="str">
        <x:v>IS_MARKET_DISABLED</x:v>
      </x:c>
      <x:c r="F374" s="14" t="str"/>
      <x:c r="G374" s="14" t="str">
        <x:v>keccak256(abi.encode(BASE,...args))</x:v>
      </x:c>
      <x:c r="H374" s="14" t="str">
        <x:v>uint256 marketIndex [market]</x:v>
      </x:c>
      <x:c r="I374" s="14" t="str">
        <x:v>bool</x:v>
      </x:c>
      <x:c r="J374" s="14" t="str">
        <x:v>market</x:v>
      </x:c>
      <x:c r="K374" s="16" t="str">
        <x:v>是</x:v>
      </x:c>
      <x:c r="L374" s="16" t="str">
        <x:v>否</x:v>
      </x:c>
      <x:c r="M374" s="14" t="str">
        <x:v>Config(CONFIG_KEEPER)</x:v>
      </x:c>
      <x:c r="N374" s="14" t="str">
        <x:v>沿用/见变更表</x:v>
      </x:c>
      <x:c r="O374" s="14" t="str">
        <x:v>FX100Keys.sol / Config.sol / registry-v0.3.2.json</x:v>
      </x:c>
    </x:row>
    <x:row r="375">
      <x:c r="A375" s="16" t="n">
        <x:v>374</x:v>
      </x:c>
      <x:c r="B375" s="14" t="str">
        <x:v>派生 Key</x:v>
      </x:c>
      <x:c r="C375" s="14" t="str">
        <x:v>minMarketTokensForFirstDepositKey</x:v>
      </x:c>
      <x:c r="D375" s="14" t="str">
        <x:v>MIN_MARKET_TOKENS_FOR_FIRST_DEPOSIT</x:v>
      </x:c>
      <x:c r="E375" s="14" t="str">
        <x:v>MIN_MARKET_TOKENS_FOR_FIRST_DEPOSIT</x:v>
      </x:c>
      <x:c r="F375" s="14" t="str"/>
      <x:c r="G375" s="14" t="str">
        <x:v>keccak256(abi.encode(BASE,...args))</x:v>
      </x:c>
      <x:c r="H375" s="14" t="str">
        <x:v>uint256 marketIndex [market]</x:v>
      </x:c>
      <x:c r="I375" s="14" t="str"/>
      <x:c r="J375" s="14" t="str">
        <x:v>market</x:v>
      </x:c>
      <x:c r="K375" s="16" t="str">
        <x:v>是</x:v>
      </x:c>
      <x:c r="L375" s="16" t="str">
        <x:v>否</x:v>
      </x:c>
      <x:c r="M375" s="14" t="str">
        <x:v>Config(CONFIG_KEEPER)</x:v>
      </x:c>
      <x:c r="N375" s="14" t="str">
        <x:v>沿用/见变更表</x:v>
      </x:c>
      <x:c r="O375" s="14" t="str">
        <x:v>FX100Keys.sol / Config.sol / registry-v0.3.2.json</x:v>
      </x:c>
    </x:row>
    <x:row r="376">
      <x:c r="A376" s="16" t="n">
        <x:v>375</x:v>
      </x:c>
      <x:c r="B376" s="14" t="str">
        <x:v>派生 Key</x:v>
      </x:c>
      <x:c r="C376" s="14" t="str">
        <x:v>priceFeedKey</x:v>
      </x:c>
      <x:c r="D376" s="14" t="str">
        <x:v>PRICE_FEED</x:v>
      </x:c>
      <x:c r="E376" s="14" t="str">
        <x:v>PRICE_FEED</x:v>
      </x:c>
      <x:c r="F376" s="14" t="str"/>
      <x:c r="G376" s="14" t="str">
        <x:v>keccak256(abi.encode(BASE,...args))</x:v>
      </x:c>
      <x:c r="H376" s="14" t="str">
        <x:v>address token [token]</x:v>
      </x:c>
      <x:c r="I376" s="14" t="str">
        <x:v>address</x:v>
      </x:c>
      <x:c r="J376" s="14" t="str">
        <x:v>token</x:v>
      </x:c>
      <x:c r="K376" s="16" t="str">
        <x:v>否</x:v>
      </x:c>
      <x:c r="L376" s="16" t="str">
        <x:v>否</x:v>
      </x:c>
      <x:c r="M376" s="14" t="str">
        <x:v>DataStore 直写(CONTROLLER)</x:v>
      </x:c>
      <x:c r="N376" s="14" t="str">
        <x:v>沿用/见变更表</x:v>
      </x:c>
      <x:c r="O376" s="14" t="str">
        <x:v>FX100Keys.sol / Config.sol / registry-v0.3.2.json</x:v>
      </x:c>
    </x:row>
    <x:row r="377">
      <x:c r="A377" s="16" t="n">
        <x:v>376</x:v>
      </x:c>
      <x:c r="B377" s="14" t="str">
        <x:v>派生 Key</x:v>
      </x:c>
      <x:c r="C377" s="14" t="str">
        <x:v>pythPriceFeedKey</x:v>
      </x:c>
      <x:c r="D377" s="14" t="str">
        <x:v>PYTH_PRICE_FEED</x:v>
      </x:c>
      <x:c r="E377" s="14" t="str">
        <x:v>PYTH_PRICE_FEED</x:v>
      </x:c>
      <x:c r="F377" s="14" t="str"/>
      <x:c r="G377" s="14" t="str">
        <x:v>keccak256(abi.encode(BASE,...args))</x:v>
      </x:c>
      <x:c r="H377" s="14" t="str">
        <x:v>address token [token]</x:v>
      </x:c>
      <x:c r="I377" s="14" t="str">
        <x:v>bytes32</x:v>
      </x:c>
      <x:c r="J377" s="14" t="str">
        <x:v>token</x:v>
      </x:c>
      <x:c r="K377" s="16" t="str">
        <x:v>否</x:v>
      </x:c>
      <x:c r="L377" s="16" t="str">
        <x:v>否</x:v>
      </x:c>
      <x:c r="M377" s="14" t="str">
        <x:v>DataStore 直写(CONTROLLER)</x:v>
      </x:c>
      <x:c r="N377" s="14" t="str">
        <x:v>沿用/见变更表</x:v>
      </x:c>
      <x:c r="O377" s="14" t="str">
        <x:v>FX100Keys.sol / Config.sol / registry-v0.3.2.json</x:v>
      </x:c>
    </x:row>
    <x:row r="378">
      <x:c r="A378" s="16" t="n">
        <x:v>377</x:v>
      </x:c>
      <x:c r="B378" s="14" t="str">
        <x:v>派生 Key</x:v>
      </x:c>
      <x:c r="C378" s="14" t="str">
        <x:v>dataStreamIdKey</x:v>
      </x:c>
      <x:c r="D378" s="14" t="str">
        <x:v>DATA_STREAM_ID</x:v>
      </x:c>
      <x:c r="E378" s="14" t="str">
        <x:v>DATA_STREAM_ID</x:v>
      </x:c>
      <x:c r="F378" s="14" t="str"/>
      <x:c r="G378" s="14" t="str">
        <x:v>keccak256(abi.encode(BASE,...args))</x:v>
      </x:c>
      <x:c r="H378" s="14" t="str">
        <x:v>address token [token]</x:v>
      </x:c>
      <x:c r="I378" s="14" t="str">
        <x:v>bytes32</x:v>
      </x:c>
      <x:c r="J378" s="14" t="str">
        <x:v>token</x:v>
      </x:c>
      <x:c r="K378" s="16" t="str">
        <x:v>否</x:v>
      </x:c>
      <x:c r="L378" s="16" t="str">
        <x:v>否</x:v>
      </x:c>
      <x:c r="M378" s="14" t="str">
        <x:v>DataStore 直写(CONTROLLER)</x:v>
      </x:c>
      <x:c r="N378" s="14" t="str">
        <x:v>沿用/见变更表</x:v>
      </x:c>
      <x:c r="O378" s="14" t="str">
        <x:v>FX100Keys.sol / Config.sol / registry-v0.3.2.json</x:v>
      </x:c>
    </x:row>
    <x:row r="379">
      <x:c r="A379" s="16" t="n">
        <x:v>378</x:v>
      </x:c>
      <x:c r="B379" s="14" t="str">
        <x:v>派生 Key</x:v>
      </x:c>
      <x:c r="C379" s="14" t="str">
        <x:v>edgeDataStreamIdKey</x:v>
      </x:c>
      <x:c r="D379" s="14" t="str">
        <x:v>EDGE_DATA_STREAM_ID</x:v>
      </x:c>
      <x:c r="E379" s="14" t="str">
        <x:v>EDGE_DATA_STREAM_ID</x:v>
      </x:c>
      <x:c r="F379" s="14" t="str"/>
      <x:c r="G379" s="14" t="str">
        <x:v>keccak256(abi.encode(BASE,...args))</x:v>
      </x:c>
      <x:c r="H379" s="14" t="str">
        <x:v>address token [token]</x:v>
      </x:c>
      <x:c r="I379" s="14" t="str">
        <x:v>bytes32</x:v>
      </x:c>
      <x:c r="J379" s="14" t="str">
        <x:v>token</x:v>
      </x:c>
      <x:c r="K379" s="16" t="str">
        <x:v>否</x:v>
      </x:c>
      <x:c r="L379" s="16" t="str">
        <x:v>否</x:v>
      </x:c>
      <x:c r="M379" s="14" t="str">
        <x:v>DataStore 直写(CONTROLLER)</x:v>
      </x:c>
      <x:c r="N379" s="14" t="str">
        <x:v>沿用/见变更表</x:v>
      </x:c>
      <x:c r="O379" s="14" t="str">
        <x:v>FX100Keys.sol / Config.sol / registry-v0.3.2.json</x:v>
      </x:c>
    </x:row>
    <x:row r="380">
      <x:c r="A380" s="16" t="n">
        <x:v>379</x:v>
      </x:c>
      <x:c r="B380" s="14" t="str">
        <x:v>派生 Key</x:v>
      </x:c>
      <x:c r="C380" s="14" t="str">
        <x:v>edgeDataStreamTokenDecimalsKey</x:v>
      </x:c>
      <x:c r="D380" s="14" t="str">
        <x:v>EDGE_DATA_STREAM_TOKEN_DECIMALS</x:v>
      </x:c>
      <x:c r="E380" s="14" t="str">
        <x:v>EDGE_DATA_STREAM_TOKEN_DECIMALS</x:v>
      </x:c>
      <x:c r="F380" s="14" t="str"/>
      <x:c r="G380" s="14" t="str">
        <x:v>keccak256(abi.encode(BASE,...args))</x:v>
      </x:c>
      <x:c r="H380" s="14" t="str">
        <x:v>address token [token]</x:v>
      </x:c>
      <x:c r="I380" s="14" t="str">
        <x:v>uint</x:v>
      </x:c>
      <x:c r="J380" s="14" t="str">
        <x:v>token</x:v>
      </x:c>
      <x:c r="K380" s="16" t="str">
        <x:v>否</x:v>
      </x:c>
      <x:c r="L380" s="16" t="str">
        <x:v>否</x:v>
      </x:c>
      <x:c r="M380" s="14" t="str">
        <x:v>DataStore 直写(CONTROLLER)</x:v>
      </x:c>
      <x:c r="N380" s="14" t="str">
        <x:v>沿用/见变更表</x:v>
      </x:c>
      <x:c r="O380" s="14" t="str">
        <x:v>FX100Keys.sol / Config.sol / registry-v0.3.2.json</x:v>
      </x:c>
    </x:row>
    <x:row r="381">
      <x:c r="A381" s="16" t="n">
        <x:v>380</x:v>
      </x:c>
      <x:c r="B381" s="14" t="str">
        <x:v>派生 Key</x:v>
      </x:c>
      <x:c r="C381" s="14" t="str">
        <x:v>dataStreamMultiplierKey</x:v>
      </x:c>
      <x:c r="D381" s="14" t="str">
        <x:v>DATA_STREAM_MULTIPLIER</x:v>
      </x:c>
      <x:c r="E381" s="14" t="str">
        <x:v>DATA_STREAM_MULTIPLIER</x:v>
      </x:c>
      <x:c r="F381" s="14" t="str"/>
      <x:c r="G381" s="14" t="str">
        <x:v>keccak256(abi.encode(BASE,...args))</x:v>
      </x:c>
      <x:c r="H381" s="14" t="str">
        <x:v>address token [token]</x:v>
      </x:c>
      <x:c r="I381" s="14" t="str">
        <x:v>uint</x:v>
      </x:c>
      <x:c r="J381" s="14" t="str">
        <x:v>token</x:v>
      </x:c>
      <x:c r="K381" s="16" t="str">
        <x:v>否</x:v>
      </x:c>
      <x:c r="L381" s="16" t="str">
        <x:v>否</x:v>
      </x:c>
      <x:c r="M381" s="14" t="str">
        <x:v>DataStore 直写(CONTROLLER)</x:v>
      </x:c>
      <x:c r="N381" s="14" t="str">
        <x:v>沿用/见变更表</x:v>
      </x:c>
      <x:c r="O381" s="14" t="str">
        <x:v>FX100Keys.sol / Config.sol / registry-v0.3.2.json</x:v>
      </x:c>
    </x:row>
    <x:row r="382">
      <x:c r="A382" s="16" t="n">
        <x:v>381</x:v>
      </x:c>
      <x:c r="B382" s="14" t="str">
        <x:v>派生 Key</x:v>
      </x:c>
      <x:c r="C382" s="14" t="str">
        <x:v>dataStreamSpreadReductionFactorKey</x:v>
      </x:c>
      <x:c r="D382" s="14" t="str">
        <x:v>DATA_STREAM_SPREAD_REDUCTION_FACTOR</x:v>
      </x:c>
      <x:c r="E382" s="14" t="str">
        <x:v>DATA_STREAM_SPREAD_REDUCTION_FACTOR</x:v>
      </x:c>
      <x:c r="F382" s="14" t="str"/>
      <x:c r="G382" s="14" t="str">
        <x:v>keccak256(abi.encode(BASE,...args))</x:v>
      </x:c>
      <x:c r="H382" s="14" t="str">
        <x:v>address token [token]</x:v>
      </x:c>
      <x:c r="I382" s="14" t="str">
        <x:v>uint</x:v>
      </x:c>
      <x:c r="J382" s="14" t="str">
        <x:v>token</x:v>
      </x:c>
      <x:c r="K382" s="16" t="str">
        <x:v>是</x:v>
      </x:c>
      <x:c r="L382" s="16" t="str">
        <x:v>否</x:v>
      </x:c>
      <x:c r="M382" s="14" t="str">
        <x:v>Config(CONFIG_KEEPER)</x:v>
      </x:c>
      <x:c r="N382" s="14" t="str">
        <x:v>沿用/见变更表</x:v>
      </x:c>
      <x:c r="O382" s="14" t="str">
        <x:v>FX100Keys.sol / Config.sol / registry-v0.3.2.json</x:v>
      </x:c>
    </x:row>
    <x:row r="383">
      <x:c r="A383" s="16" t="n">
        <x:v>382</x:v>
      </x:c>
      <x:c r="B383" s="14" t="str">
        <x:v>派生 Key</x:v>
      </x:c>
      <x:c r="C383" s="14" t="str">
        <x:v>priceFeedMultiplierKey</x:v>
      </x:c>
      <x:c r="D383" s="14" t="str">
        <x:v>PRICE_FEED_MULTIPLIER</x:v>
      </x:c>
      <x:c r="E383" s="14" t="str">
        <x:v>PRICE_FEED_MULTIPLIER</x:v>
      </x:c>
      <x:c r="F383" s="14" t="str"/>
      <x:c r="G383" s="14" t="str">
        <x:v>keccak256(abi.encode(BASE,...args))</x:v>
      </x:c>
      <x:c r="H383" s="14" t="str">
        <x:v>address token [token]</x:v>
      </x:c>
      <x:c r="I383" s="14" t="str">
        <x:v>uint</x:v>
      </x:c>
      <x:c r="J383" s="14" t="str">
        <x:v>token</x:v>
      </x:c>
      <x:c r="K383" s="16" t="str">
        <x:v>否</x:v>
      </x:c>
      <x:c r="L383" s="16" t="str">
        <x:v>否</x:v>
      </x:c>
      <x:c r="M383" s="14" t="str">
        <x:v>DataStore 直写(CONTROLLER)</x:v>
      </x:c>
      <x:c r="N383" s="14" t="str">
        <x:v>沿用/见变更表</x:v>
      </x:c>
      <x:c r="O383" s="14" t="str">
        <x:v>FX100Keys.sol / Config.sol / registry-v0.3.2.json</x:v>
      </x:c>
    </x:row>
    <x:row r="384">
      <x:c r="A384" s="16" t="n">
        <x:v>383</x:v>
      </x:c>
      <x:c r="B384" s="14" t="str">
        <x:v>派生 Key</x:v>
      </x:c>
      <x:c r="C384" s="14" t="str">
        <x:v>pythPriceFeedMultiplierKey</x:v>
      </x:c>
      <x:c r="D384" s="14" t="str">
        <x:v>PYTH_PRICE_FEED_MULTIPLIER</x:v>
      </x:c>
      <x:c r="E384" s="14" t="str">
        <x:v>PYTH_PRICE_FEED_MULTIPLIER</x:v>
      </x:c>
      <x:c r="F384" s="14" t="str"/>
      <x:c r="G384" s="14" t="str">
        <x:v>keccak256(abi.encode(BASE,...args))</x:v>
      </x:c>
      <x:c r="H384" s="14" t="str">
        <x:v>address token [token]</x:v>
      </x:c>
      <x:c r="I384" s="14" t="str">
        <x:v>uint</x:v>
      </x:c>
      <x:c r="J384" s="14" t="str">
        <x:v>token</x:v>
      </x:c>
      <x:c r="K384" s="16" t="str">
        <x:v>否</x:v>
      </x:c>
      <x:c r="L384" s="16" t="str">
        <x:v>否</x:v>
      </x:c>
      <x:c r="M384" s="14" t="str">
        <x:v>DataStore 直写(CONTROLLER)</x:v>
      </x:c>
      <x:c r="N384" s="14" t="str">
        <x:v>沿用/见变更表</x:v>
      </x:c>
      <x:c r="O384" s="14" t="str">
        <x:v>FX100Keys.sol / Config.sol / registry-v0.3.2.json</x:v>
      </x:c>
    </x:row>
    <x:row r="385">
      <x:c r="A385" s="16" t="n">
        <x:v>384</x:v>
      </x:c>
      <x:c r="B385" s="14" t="str">
        <x:v>派生 Key</x:v>
      </x:c>
      <x:c r="C385" s="14" t="str">
        <x:v>priceFeedHeartbeatDurationKey</x:v>
      </x:c>
      <x:c r="D385" s="14" t="str">
        <x:v>PRICE_FEED_HEARTBEAT_DURATION</x:v>
      </x:c>
      <x:c r="E385" s="14" t="str">
        <x:v>PRICE_FEED_HEARTBEAT_DURATION</x:v>
      </x:c>
      <x:c r="F385" s="14" t="str"/>
      <x:c r="G385" s="14" t="str">
        <x:v>keccak256(abi.encode(BASE,...args))</x:v>
      </x:c>
      <x:c r="H385" s="14" t="str">
        <x:v>address token [token]</x:v>
      </x:c>
      <x:c r="I385" s="14" t="str">
        <x:v>uint</x:v>
      </x:c>
      <x:c r="J385" s="14" t="str">
        <x:v>token</x:v>
      </x:c>
      <x:c r="K385" s="16" t="str">
        <x:v>是</x:v>
      </x:c>
      <x:c r="L385" s="16" t="str">
        <x:v>否</x:v>
      </x:c>
      <x:c r="M385" s="14" t="str">
        <x:v>Config(CONFIG_KEEPER)</x:v>
      </x:c>
      <x:c r="N385" s="14" t="str">
        <x:v>沿用/见变更表</x:v>
      </x:c>
      <x:c r="O385" s="14" t="str">
        <x:v>FX100Keys.sol / Config.sol / registry-v0.3.2.json</x:v>
      </x:c>
    </x:row>
    <x:row r="386">
      <x:c r="A386" s="16" t="n">
        <x:v>385</x:v>
      </x:c>
      <x:c r="B386" s="14" t="str">
        <x:v>派生 Key</x:v>
      </x:c>
      <x:c r="C386" s="14" t="str">
        <x:v>stablePriceKey</x:v>
      </x:c>
      <x:c r="D386" s="14" t="str">
        <x:v>STABLE_PRICE</x:v>
      </x:c>
      <x:c r="E386" s="14" t="str">
        <x:v>STABLE_PRICE</x:v>
      </x:c>
      <x:c r="F386" s="14" t="str"/>
      <x:c r="G386" s="14" t="str">
        <x:v>keccak256(abi.encode(BASE,...args))</x:v>
      </x:c>
      <x:c r="H386" s="14" t="str">
        <x:v>address token [token]</x:v>
      </x:c>
      <x:c r="I386" s="14" t="str">
        <x:v>uint</x:v>
      </x:c>
      <x:c r="J386" s="14" t="str">
        <x:v>token</x:v>
      </x:c>
      <x:c r="K386" s="16" t="str">
        <x:v>否</x:v>
      </x:c>
      <x:c r="L386" s="16" t="str">
        <x:v>否</x:v>
      </x:c>
      <x:c r="M386" s="14" t="str">
        <x:v>DataStore 直写(CONTROLLER)</x:v>
      </x:c>
      <x:c r="N386" s="14" t="str">
        <x:v>沿用/见变更表</x:v>
      </x:c>
      <x:c r="O386" s="14" t="str">
        <x:v>FX100Keys.sol / Config.sol / registry-v0.3.2.json</x:v>
      </x:c>
    </x:row>
    <x:row r="387">
      <x:c r="A387" s="16" t="n">
        <x:v>386</x:v>
      </x:c>
      <x:c r="B387" s="14" t="str">
        <x:v>派生 Key</x:v>
      </x:c>
      <x:c r="C387" s="14" t="str">
        <x:v>syncConfigFeatureDisabledKey</x:v>
      </x:c>
      <x:c r="D387" s="14" t="str">
        <x:v>SYNC_CONFIG_FEATURE_DISABLED</x:v>
      </x:c>
      <x:c r="E387" s="14" t="str">
        <x:v>SYNC_CONFIG_FEATURE_DISABLED</x:v>
      </x:c>
      <x:c r="F387" s="14" t="str"/>
      <x:c r="G387" s="14" t="str">
        <x:v>keccak256(abi.encode(BASE,...args))</x:v>
      </x:c>
      <x:c r="H387" s="14" t="str">
        <x:v>address module [module]</x:v>
      </x:c>
      <x:c r="I387" s="14" t="str">
        <x:v>bool</x:v>
      </x:c>
      <x:c r="J387" s="14" t="str">
        <x:v>module</x:v>
      </x:c>
      <x:c r="K387" s="16" t="str">
        <x:v>是</x:v>
      </x:c>
      <x:c r="L387" s="16" t="str">
        <x:v>否</x:v>
      </x:c>
      <x:c r="M387" s="14" t="str">
        <x:v>Config(CONFIG_KEEPER)</x:v>
      </x:c>
      <x:c r="N387" s="14" t="str">
        <x:v>沿用/见变更表</x:v>
      </x:c>
      <x:c r="O387" s="14" t="str">
        <x:v>FX100Keys.sol / Config.sol / registry-v0.3.2.json</x:v>
      </x:c>
    </x:row>
    <x:row r="388">
      <x:c r="A388" s="16" t="n">
        <x:v>387</x:v>
      </x:c>
      <x:c r="B388" s="14" t="str">
        <x:v>派生 Key</x:v>
      </x:c>
      <x:c r="C388" s="14" t="str">
        <x:v>syncConfigMarketDisabledKey</x:v>
      </x:c>
      <x:c r="D388" s="14" t="str">
        <x:v>SYNC_CONFIG_MARKET_DISABLED</x:v>
      </x:c>
      <x:c r="E388" s="14" t="str">
        <x:v>SYNC_CONFIG_MARKET_DISABLED</x:v>
      </x:c>
      <x:c r="F388" s="14" t="str"/>
      <x:c r="G388" s="14" t="str">
        <x:v>keccak256(abi.encode(BASE,...args))</x:v>
      </x:c>
      <x:c r="H388" s="14" t="str">
        <x:v>uint256 marketIndex [market]</x:v>
      </x:c>
      <x:c r="I388" s="14" t="str">
        <x:v>bool</x:v>
      </x:c>
      <x:c r="J388" s="14" t="str">
        <x:v>market</x:v>
      </x:c>
      <x:c r="K388" s="16" t="str">
        <x:v>是</x:v>
      </x:c>
      <x:c r="L388" s="16" t="str">
        <x:v>否</x:v>
      </x:c>
      <x:c r="M388" s="14" t="str">
        <x:v>Config(CONFIG_KEEPER)</x:v>
      </x:c>
      <x:c r="N388" s="14" t="str">
        <x:v>沿用/见变更表</x:v>
      </x:c>
      <x:c r="O388" s="14" t="str">
        <x:v>FX100Keys.sol / Config.sol / registry-v0.3.2.json</x:v>
      </x:c>
    </x:row>
    <x:row r="389">
      <x:c r="A389" s="16" t="n">
        <x:v>388</x:v>
      </x:c>
      <x:c r="B389" s="14" t="str">
        <x:v>派生 Key</x:v>
      </x:c>
      <x:c r="C389" s="14" t="str">
        <x:v>syncConfigParameterDisabledKey</x:v>
      </x:c>
      <x:c r="D389" s="14" t="str">
        <x:v>SYNC_CONFIG_PARAMETER_DISABLED</x:v>
      </x:c>
      <x:c r="E389" s="14" t="str">
        <x:v>SYNC_CONFIG_PARAMETER_DISABLED</x:v>
      </x:c>
      <x:c r="F389" s="14" t="str"/>
      <x:c r="G389" s="14" t="str">
        <x:v>keccak256(abi.encode(BASE,...args))</x:v>
      </x:c>
      <x:c r="H389" s="14" t="str">
        <x:v>string parameter [configParameterName]</x:v>
      </x:c>
      <x:c r="I389" s="14" t="str">
        <x:v>bool</x:v>
      </x:c>
      <x:c r="J389" s="14" t="str">
        <x:v>configParameterName</x:v>
      </x:c>
      <x:c r="K389" s="16" t="str">
        <x:v>是</x:v>
      </x:c>
      <x:c r="L389" s="16" t="str">
        <x:v>否</x:v>
      </x:c>
      <x:c r="M389" s="14" t="str">
        <x:v>Config(CONFIG_KEEPER)</x:v>
      </x:c>
      <x:c r="N389" s="14" t="str">
        <x:v>沿用/见变更表</x:v>
      </x:c>
      <x:c r="O389" s="14" t="str">
        <x:v>FX100Keys.sol / Config.sol / registry-v0.3.2.json</x:v>
      </x:c>
    </x:row>
    <x:row r="390">
      <x:c r="A390" s="16" t="n">
        <x:v>389</x:v>
      </x:c>
      <x:c r="B390" s="14" t="str">
        <x:v>派生 Key</x:v>
      </x:c>
      <x:c r="C390" s="14" t="str">
        <x:v>syncConfigMarketParameterDisabledKey</x:v>
      </x:c>
      <x:c r="D390" s="14" t="str">
        <x:v>SYNC_CONFIG_MARKET_PARAMETER_DISABLED</x:v>
      </x:c>
      <x:c r="E390" s="14" t="str">
        <x:v>SYNC_CONFIG_MARKET_PARAMETER_DISABLED</x:v>
      </x:c>
      <x:c r="F390" s="14" t="str"/>
      <x:c r="G390" s="14" t="str">
        <x:v>keccak256(abi.encode(BASE,...args))</x:v>
      </x:c>
      <x:c r="H390" s="14" t="str">
        <x:v>uint256 marketIndex [market], string parameter [configParameterName]</x:v>
      </x:c>
      <x:c r="I390" s="14" t="str">
        <x:v>bool</x:v>
      </x:c>
      <x:c r="J390" s="14" t="str">
        <x:v>market + configParameterName</x:v>
      </x:c>
      <x:c r="K390" s="16" t="str">
        <x:v>是</x:v>
      </x:c>
      <x:c r="L390" s="16" t="str">
        <x:v>否</x:v>
      </x:c>
      <x:c r="M390" s="14" t="str">
        <x:v>Config(CONFIG_KEEPER)</x:v>
      </x:c>
      <x:c r="N390" s="14" t="str">
        <x:v>沿用/见变更表</x:v>
      </x:c>
      <x:c r="O390" s="14" t="str">
        <x:v>FX100Keys.sol / Config.sol / registry-v0.3.2.json</x:v>
      </x:c>
    </x:row>
    <x:row r="391">
      <x:c r="A391" s="16" t="n">
        <x:v>390</x:v>
      </x:c>
      <x:c r="B391" s="14" t="str">
        <x:v>派生 Key</x:v>
      </x:c>
      <x:c r="C391" s="14" t="str">
        <x:v>syncConfigUpdateCompletedKey</x:v>
      </x:c>
      <x:c r="D391" s="14" t="str">
        <x:v>SYNC_CONFIG_UPDATE_COMPLETED</x:v>
      </x:c>
      <x:c r="E391" s="14" t="str">
        <x:v>SYNC_CONFIG_UPDATE_COMPLETED</x:v>
      </x:c>
      <x:c r="F391" s="14" t="str"/>
      <x:c r="G391" s="14" t="str">
        <x:v>keccak256(abi.encode(BASE,...args))</x:v>
      </x:c>
      <x:c r="H391" s="14" t="str">
        <x:v>uint256 updateId [updateId]</x:v>
      </x:c>
      <x:c r="I391" s="14" t="str">
        <x:v>bool</x:v>
      </x:c>
      <x:c r="J391" s="14" t="str">
        <x:v>updateId</x:v>
      </x:c>
      <x:c r="K391" s="16" t="str">
        <x:v>否</x:v>
      </x:c>
      <x:c r="L391" s="16" t="str">
        <x:v>否</x:v>
      </x:c>
      <x:c r="M391" s="14" t="str">
        <x:v>DataStore 直写(CONTROLLER)</x:v>
      </x:c>
      <x:c r="N391" s="14" t="str">
        <x:v>沿用/见变更表</x:v>
      </x:c>
      <x:c r="O391" s="14" t="str">
        <x:v>FX100Keys.sol / Config.sol / registry-v0.3.2.json</x:v>
      </x:c>
    </x:row>
    <x:row r="392">
      <x:c r="A392" s="16" t="n">
        <x:v>391</x:v>
      </x:c>
      <x:c r="B392" s="14" t="str">
        <x:v>派生 Key</x:v>
      </x:c>
      <x:c r="C392" s="14" t="str">
        <x:v>syncConfigLatestUpdateIdKey</x:v>
      </x:c>
      <x:c r="D392" s="14" t="str">
        <x:v>SYNC_CONFIG_LATEST_UPDATE_ID</x:v>
      </x:c>
      <x:c r="E392" s="14" t="str">
        <x:v>SYNC_CONFIG_LATEST_UPDATE_ID</x:v>
      </x:c>
      <x:c r="F392" s="14" t="str"/>
      <x:c r="G392" s="14" t="str">
        <x:v>identity</x:v>
      </x:c>
      <x:c r="H392" s="14" t="str"/>
      <x:c r="I392" s="14" t="str">
        <x:v>uint</x:v>
      </x:c>
      <x:c r="J392" s="14" t="str">
        <x:v>global</x:v>
      </x:c>
      <x:c r="K392" s="16" t="str">
        <x:v>否</x:v>
      </x:c>
      <x:c r="L392" s="16" t="str">
        <x:v>否</x:v>
      </x:c>
      <x:c r="M392" s="14" t="str">
        <x:v>DataStore 直写(CONTROLLER)</x:v>
      </x:c>
      <x:c r="N392" s="14" t="str">
        <x:v>沿用/见变更表</x:v>
      </x:c>
      <x:c r="O392" s="14" t="str">
        <x:v>FX100Keys.sol / Config.sol / registry-v0.3.2.json</x:v>
      </x:c>
    </x:row>
    <x:row r="393">
      <x:c r="A393" s="16" t="n">
        <x:v>392</x:v>
      </x:c>
      <x:c r="B393" s="14" t="str">
        <x:v>派生 Key</x:v>
      </x:c>
      <x:c r="C393" s="14" t="str">
        <x:v>availableFeeAmountKey</x:v>
      </x:c>
      <x:c r="D393" s="14" t="str">
        <x:v>AVAILABLE_FEE_AMOUNT</x:v>
      </x:c>
      <x:c r="E393" s="14" t="str">
        <x:v>AVAILABLE_FEE_AMOUNT</x:v>
      </x:c>
      <x:c r="F393" s="14" t="str"/>
      <x:c r="G393" s="14" t="str">
        <x:v>keccak256(abi.encode(BASE,...args))</x:v>
      </x:c>
      <x:c r="H393" s="14" t="str">
        <x:v>address feeToken [token], bytes32 feeType [feeType]</x:v>
      </x:c>
      <x:c r="I393" s="14" t="str">
        <x:v>uint</x:v>
      </x:c>
      <x:c r="J393" s="14" t="str">
        <x:v>token + feeType</x:v>
      </x:c>
      <x:c r="K393" s="16" t="str">
        <x:v>否</x:v>
      </x:c>
      <x:c r="L393" s="16" t="str">
        <x:v>否</x:v>
      </x:c>
      <x:c r="M393" s="14" t="str">
        <x:v>DataStore 直写(CONTROLLER)</x:v>
      </x:c>
      <x:c r="N393" s="14" t="str">
        <x:v>沿用/见变更表</x:v>
      </x:c>
      <x:c r="O393" s="14" t="str">
        <x:v>FX100Keys.sol / Config.sol / registry-v0.3.2.json</x:v>
      </x:c>
    </x:row>
    <x:row r="394">
      <x:c r="A394" s="16" t="n">
        <x:v>393</x:v>
      </x:c>
      <x:c r="B394" s="14" t="str">
        <x:v>派生 Key</x:v>
      </x:c>
      <x:c r="C394" s="14" t="str">
        <x:v>liquidationGracePeriodBaseKey</x:v>
      </x:c>
      <x:c r="D394" s="14" t="str">
        <x:v>LIQUIDATION_GRACE_PERIOD_BASE</x:v>
      </x:c>
      <x:c r="E394" s="14" t="str">
        <x:v>LIQUIDATION_GRACE_PERIOD_BASE</x:v>
      </x:c>
      <x:c r="F394" s="14" t="str"/>
      <x:c r="G394" s="14" t="str">
        <x:v>keccak256(abi.encode(BASE,...args))</x:v>
      </x:c>
      <x:c r="H394" s="14" t="str">
        <x:v>uint256 marketIndex [market]</x:v>
      </x:c>
      <x:c r="I394" s="14" t="str">
        <x:v>uint</x:v>
      </x:c>
      <x:c r="J394" s="14" t="str">
        <x:v>market</x:v>
      </x:c>
      <x:c r="K394" s="16" t="str">
        <x:v>否</x:v>
      </x:c>
      <x:c r="L394" s="16" t="str">
        <x:v>否</x:v>
      </x:c>
      <x:c r="M394" s="14" t="str">
        <x:v>DataStore 直写(CONTROLLER)</x:v>
      </x:c>
      <x:c r="N394" s="14" t="str">
        <x:v>沿用/见变更表</x:v>
      </x:c>
      <x:c r="O394" s="14" t="str">
        <x:v>FX100Keys.sol / Config.sol / registry-v0.3.2.json</x:v>
      </x:c>
    </x:row>
    <x:row r="395">
      <x:c r="A395" s="16" t="n">
        <x:v>394</x:v>
      </x:c>
      <x:c r="B395" s="14" t="str">
        <x:v>派生 Key</x:v>
      </x:c>
      <x:c r="C395" s="14" t="str">
        <x:v>liquidationGracePeriodTierMultiplierKey</x:v>
      </x:c>
      <x:c r="D395" s="14" t="str">
        <x:v>LIQUIDATION_GRACE_PERIOD_TIER_MULTIPLIER</x:v>
      </x:c>
      <x:c r="E395" s="14" t="str">
        <x:v>LIQUIDATION_GRACE_PERIOD_TIER_MULTIPLIER</x:v>
      </x:c>
      <x:c r="F395" s="14" t="str"/>
      <x:c r="G395" s="14" t="str">
        <x:v>keccak256(abi.encode(BASE,...args))</x:v>
      </x:c>
      <x:c r="H395" s="14" t="str">
        <x:v>uint256 tier [graceTier]</x:v>
      </x:c>
      <x:c r="I395" s="14" t="str">
        <x:v>uint</x:v>
      </x:c>
      <x:c r="J395" s="14" t="str">
        <x:v>graceTier</x:v>
      </x:c>
      <x:c r="K395" s="16" t="str">
        <x:v>否</x:v>
      </x:c>
      <x:c r="L395" s="16" t="str">
        <x:v>否</x:v>
      </x:c>
      <x:c r="M395" s="14" t="str">
        <x:v>DataStore 直写(CONTROLLER)</x:v>
      </x:c>
      <x:c r="N395" s="14" t="str">
        <x:v>沿用/见变更表</x:v>
      </x:c>
      <x:c r="O395" s="14" t="str">
        <x:v>FX100Keys.sol / Config.sol / registry-v0.3.2.json</x:v>
      </x:c>
    </x:row>
    <x:row r="396">
      <x:c r="A396" s="16" t="n">
        <x:v>395</x:v>
      </x:c>
      <x:c r="B396" s="14" t="str">
        <x:v>派生 Key</x:v>
      </x:c>
      <x:c r="C396" s="14" t="str">
        <x:v>maxPositionSizeUSDKey</x:v>
      </x:c>
      <x:c r="D396" s="14" t="str">
        <x:v>MAX_POSITION_SIZE_USD</x:v>
      </x:c>
      <x:c r="E396" s="14" t="str">
        <x:v>MAX_POSITION_SIZE_USD</x:v>
      </x:c>
      <x:c r="F396" s="14" t="str"/>
      <x:c r="G396" s="14" t="str">
        <x:v>keccak256(abi.encode(BASE,...args))</x:v>
      </x:c>
      <x:c r="H396" s="14" t="str">
        <x:v>uint256 marketIndex [market]</x:v>
      </x:c>
      <x:c r="I396" s="14" t="str">
        <x:v>uint</x:v>
      </x:c>
      <x:c r="J396" s="14" t="str">
        <x:v>market</x:v>
      </x:c>
      <x:c r="K396" s="16" t="str">
        <x:v>否</x:v>
      </x:c>
      <x:c r="L396" s="16" t="str">
        <x:v>否</x:v>
      </x:c>
      <x:c r="M396" s="14" t="str">
        <x:v>DataStore 直写(CONTROLLER)</x:v>
      </x:c>
      <x:c r="N396" s="14" t="str">
        <x:v>沿用/见变更表</x:v>
      </x:c>
      <x:c r="O396" s="14" t="str">
        <x:v>FX100Keys.sol / Config.sol / registry-v0.3.2.json</x:v>
      </x:c>
    </x:row>
    <x:row r="397">
      <x:c r="A397" s="16" t="n">
        <x:v>396</x:v>
      </x:c>
      <x:c r="B397" s="14" t="str">
        <x:v>派生 Key</x:v>
      </x:c>
      <x:c r="C397" s="14" t="str">
        <x:v>executionFeeSubsidizeKey</x:v>
      </x:c>
      <x:c r="D397" s="14" t="str">
        <x:v>EXECUTION_FEE_SUBSIDIZE</x:v>
      </x:c>
      <x:c r="E397" s="14" t="str">
        <x:v>EXECUTION_FEE_SUBSIDIZE</x:v>
      </x:c>
      <x:c r="F397" s="14" t="str"/>
      <x:c r="G397" s="14" t="str">
        <x:v>keccak256(abi.encode(BASE,...args))</x:v>
      </x:c>
      <x:c r="H397" s="14" t="str">
        <x:v>uint256 marketIndex [market]</x:v>
      </x:c>
      <x:c r="I397" s="14" t="str">
        <x:v>uint</x:v>
      </x:c>
      <x:c r="J397" s="14" t="str">
        <x:v>market</x:v>
      </x:c>
      <x:c r="K397" s="16" t="str">
        <x:v>否</x:v>
      </x:c>
      <x:c r="L397" s="16" t="str">
        <x:v>否</x:v>
      </x:c>
      <x:c r="M397" s="14" t="str">
        <x:v>DataStore 直写(CONTROLLER)</x:v>
      </x:c>
      <x:c r="N397" s="14" t="str">
        <x:v>沿用/见变更表</x:v>
      </x:c>
      <x:c r="O397" s="14" t="str">
        <x:v>FX100Keys.sol / Config.sol / registry-v0.3.2.json</x:v>
      </x:c>
    </x:row>
    <x:row r="398">
      <x:c r="A398" s="16" t="n">
        <x:v>397</x:v>
      </x:c>
      <x:c r="B398" s="14" t="str">
        <x:v>派生 Key</x:v>
      </x:c>
      <x:c r="C398" s="14" t="str">
        <x:v>executionFeeSubsidizeSizeKey</x:v>
      </x:c>
      <x:c r="D398" s="14" t="str">
        <x:v>EXECUTION_FEE_SUBSIDIZE_SIZE</x:v>
      </x:c>
      <x:c r="E398" s="14" t="str">
        <x:v>EXECUTION_FEE_SUBSIDIZE_SIZE</x:v>
      </x:c>
      <x:c r="F398" s="14" t="str"/>
      <x:c r="G398" s="14" t="str">
        <x:v>keccak256(abi.encode(BASE,...args))</x:v>
      </x:c>
      <x:c r="H398" s="14" t="str">
        <x:v>uint256 marketIndex [market]</x:v>
      </x:c>
      <x:c r="I398" s="14" t="str">
        <x:v>uint</x:v>
      </x:c>
      <x:c r="J398" s="14" t="str">
        <x:v>market</x:v>
      </x:c>
      <x:c r="K398" s="16" t="str">
        <x:v>否</x:v>
      </x:c>
      <x:c r="L398" s="16" t="str">
        <x:v>否</x:v>
      </x:c>
      <x:c r="M398" s="14" t="str">
        <x:v>DataStore 直写(CONTROLLER)</x:v>
      </x:c>
      <x:c r="N398" s="14" t="str">
        <x:v>沿用/见变更表</x:v>
      </x:c>
      <x:c r="O398" s="14" t="str">
        <x:v>FX100Keys.sol / Config.sol / registry-v0.3.2.json</x:v>
      </x:c>
    </x:row>
  </x:sheetData>
  <x:conditionalFormatting sqref="N2:N398">
    <x:cfRule type="containsText" dxfId="0" priority="1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9b8c701f2b53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38" hidden="0" customWidth="1"/>
    <x:col min="5" max="5" width="12" hidden="0" customWidth="1"/>
    <x:col min="6" max="6" width="38" hidden="0" customWidth="1"/>
    <x:col min="7" max="7" width="44" hidden="0" customWidth="1"/>
    <x:col min="8" max="8" width="36" hidden="0" customWidth="1"/>
    <x:col min="9" max="9" width="14" hidden="0" customWidth="1"/>
    <x:col min="10" max="10" width="15" hidden="0" customWidth="1"/>
  </x:cols>
  <x:sheetData>
    <x:row r="1" ht="34" customHeight="1">
      <x:c r="A1" s="10" t="str">
        <x:v>序号</x:v>
      </x:c>
      <x:c r="B1" s="10" t="str">
        <x:v>分组</x:v>
      </x:c>
      <x:c r="C1" s="10" t="str">
        <x:v>基础键</x:v>
      </x:c>
      <x:c r="D1" s="10" t="str">
        <x:v>维度/实例</x:v>
      </x:c>
      <x:c r="E1" s="10" t="str">
        <x:v>类型</x:v>
      </x:c>
      <x:c r="F1" s="10" t="str">
        <x:v>链上值</x:v>
      </x:c>
      <x:c r="G1" s="10" t="str">
        <x:v>DataStore Key</x:v>
      </x:c>
      <x:c r="H1" s="10" t="str">
        <x:v>Key 构造</x:v>
      </x:c>
      <x:c r="I1" s="10" t="str">
        <x:v>类型来源</x:v>
      </x:c>
      <x:c r="J1" s="10" t="str">
        <x:v>快照区块</x:v>
      </x:c>
    </x:row>
    <x:row r="2">
      <x:c r="A2" s="16" t="n">
        <x:v>1</x:v>
      </x:c>
      <x:c r="B2" s="14" t="str">
        <x:v>market-prop</x:v>
      </x:c>
      <x:c r="C2" s="14" t="str">
        <x:v>MARKET_INDEX</x:v>
      </x:c>
      <x:c r="D2" s="14" t="str">
        <x:v>marketIndex=market#1 · BTC/UNKNOWN</x:v>
      </x:c>
      <x:c r="E2" s="14" t="str">
        <x:v>uint</x:v>
      </x:c>
      <x:c r="F2" s="14" t="str">
        <x:v>⁠1</x:v>
      </x:c>
      <x:c r="G2" s="14" t="str">
        <x:v>⁠0x8f06d4777d644b773e5ff512d28fc7016fbd722bdb5d02c57cfdbe65b90b0b71</x:v>
      </x:c>
      <x:c r="H2" s="14" t="str">
        <x:v>_efficientHash(bytes32(marketIndex), SUBKEY)</x:v>
      </x:c>
      <x:c r="I2" s="14" t="str">
        <x:v>registry</x:v>
      </x:c>
      <x:c r="J2" s="14" t="str">
        <x:v>⁠46282993</x:v>
      </x:c>
    </x:row>
    <x:row r="3">
      <x:c r="A3" s="16" t="n">
        <x:v>2</x:v>
      </x:c>
      <x:c r="B3" s="14" t="str">
        <x:v>market-prop</x:v>
      </x:c>
      <x:c r="C3" s="14" t="str">
        <x:v>VAULT</x:v>
      </x:c>
      <x:c r="D3" s="14" t="str">
        <x:v>marketIndex=market#1 · BTC/UNKNOWN</x:v>
      </x:c>
      <x:c r="E3" s="14" t="str">
        <x:v>address</x:v>
      </x:c>
      <x:c r="F3" s="14" t="str">
        <x:v>⁠0x46fb4f1eebf811a59dcf6e6343ac5be36122dde8</x:v>
      </x:c>
      <x:c r="G3" s="14" t="str">
        <x:v>⁠0xf07b374179aac87b194c175354b4367f5b85b8ea320106b646a2ca1dd2da423a</x:v>
      </x:c>
      <x:c r="H3" s="14" t="str">
        <x:v>_efficientHash(bytes32(marketIndex), SUBKEY)</x:v>
      </x:c>
      <x:c r="I3" s="14" t="str">
        <x:v>registry</x:v>
      </x:c>
      <x:c r="J3" s="14" t="str">
        <x:v>⁠46282993</x:v>
      </x:c>
    </x:row>
    <x:row r="4">
      <x:c r="A4" s="16" t="n">
        <x:v>3</x:v>
      </x:c>
      <x:c r="B4" s="14" t="str">
        <x:v>market-prop</x:v>
      </x:c>
      <x:c r="C4" s="14" t="str">
        <x:v>INDEX_TOKEN</x:v>
      </x:c>
      <x:c r="D4" s="14" t="str">
        <x:v>marketIndex=market#1 · BTC/UNKNOWN</x:v>
      </x:c>
      <x:c r="E4" s="14" t="str">
        <x:v>address</x:v>
      </x:c>
      <x:c r="F4" s="14" t="str">
        <x:v>⁠0x0555e30da8f98308edb960aa94c0db47230d2b9c</x:v>
      </x:c>
      <x:c r="G4" s="14" t="str">
        <x:v>⁠0x4f89517b5d5eb157e1a680200b63ca1a2cdbfd297fe23023096ffd45abbecb1d</x:v>
      </x:c>
      <x:c r="H4" s="14" t="str">
        <x:v>_efficientHash(bytes32(marketIndex), SUBKEY)</x:v>
      </x:c>
      <x:c r="I4" s="14" t="str">
        <x:v>registry</x:v>
      </x:c>
      <x:c r="J4" s="14" t="str">
        <x:v>⁠46282993</x:v>
      </x:c>
    </x:row>
    <x:row r="5">
      <x:c r="A5" s="16" t="n">
        <x:v>4</x:v>
      </x:c>
      <x:c r="B5" s="14" t="str">
        <x:v>market-prop</x:v>
      </x:c>
      <x:c r="C5" s="14" t="str">
        <x:v>MARKET_INDEX</x:v>
      </x:c>
      <x:c r="D5" s="14" t="str">
        <x:v>marketIndex=market#2 · WETH/UNKNOWN</x:v>
      </x:c>
      <x:c r="E5" s="14" t="str">
        <x:v>uint</x:v>
      </x:c>
      <x:c r="F5" s="14" t="str">
        <x:v>⁠2</x:v>
      </x:c>
      <x:c r="G5" s="14" t="str">
        <x:v>⁠0xa565cfc012356d9dc2802c425454c6a46dc7a13718614ac99a67b65983d473b8</x:v>
      </x:c>
      <x:c r="H5" s="14" t="str">
        <x:v>_efficientHash(bytes32(marketIndex), SUBKEY)</x:v>
      </x:c>
      <x:c r="I5" s="14" t="str">
        <x:v>registry</x:v>
      </x:c>
      <x:c r="J5" s="14" t="str">
        <x:v>⁠46282993</x:v>
      </x:c>
    </x:row>
    <x:row r="6">
      <x:c r="A6" s="16" t="n">
        <x:v>5</x:v>
      </x:c>
      <x:c r="B6" s="14" t="str">
        <x:v>market-prop</x:v>
      </x:c>
      <x:c r="C6" s="14" t="str">
        <x:v>VAULT</x:v>
      </x:c>
      <x:c r="D6" s="14" t="str">
        <x:v>marketIndex=market#2 · WETH/UNKNOWN</x:v>
      </x:c>
      <x:c r="E6" s="14" t="str">
        <x:v>address</x:v>
      </x:c>
      <x:c r="F6" s="14" t="str">
        <x:v>⁠0x46fb4f1eebf811a59dcf6e6343ac5be36122dde8</x:v>
      </x:c>
      <x:c r="G6" s="14" t="str">
        <x:v>⁠0x899162fe52097f8c1084a80f0a4632ef4bebffee175dc47a14cabef2ecdf704c</x:v>
      </x:c>
      <x:c r="H6" s="14" t="str">
        <x:v>_efficientHash(bytes32(marketIndex), SUBKEY)</x:v>
      </x:c>
      <x:c r="I6" s="14" t="str">
        <x:v>registry</x:v>
      </x:c>
      <x:c r="J6" s="14" t="str">
        <x:v>⁠46282993</x:v>
      </x:c>
    </x:row>
    <x:row r="7">
      <x:c r="A7" s="16" t="n">
        <x:v>6</x:v>
      </x:c>
      <x:c r="B7" s="14" t="str">
        <x:v>market-prop</x:v>
      </x:c>
      <x:c r="C7" s="14" t="str">
        <x:v>INDEX_TOKEN</x:v>
      </x:c>
      <x:c r="D7" s="14" t="str">
        <x:v>marketIndex=market#2 · WETH/UNKNOWN</x:v>
      </x:c>
      <x:c r="E7" s="14" t="str">
        <x:v>address</x:v>
      </x:c>
      <x:c r="F7" s="14" t="str">
        <x:v>⁠0x4200000000000000000000000000000000000006</x:v>
      </x:c>
      <x:c r="G7" s="14" t="str">
        <x:v>⁠0x3ee1b38f1913fdbe66db4c43f073ccaab3119018d2a53bae9f395983d4d14633</x:v>
      </x:c>
      <x:c r="H7" s="14" t="str">
        <x:v>_efficientHash(bytes32(marketIndex), SUBKEY)</x:v>
      </x:c>
      <x:c r="I7" s="14" t="str">
        <x:v>registry</x:v>
      </x:c>
      <x:c r="J7" s="14" t="str">
        <x:v>⁠46282993</x:v>
      </x:c>
    </x:row>
    <x:row r="8">
      <x:c r="A8" s="16" t="n">
        <x:v>7</x:v>
      </x:c>
      <x:c r="B8" s="14" t="str">
        <x:v>global</x:v>
      </x:c>
      <x:c r="C8" s="14" t="str">
        <x:v>MAX_PRICE_IMPACT_SPREAD</x:v>
      </x:c>
      <x:c r="D8" s="14" t="str"/>
      <x:c r="E8" s="14" t="str">
        <x:v>uint</x:v>
      </x:c>
      <x:c r="F8" s="14" t="str">
        <x:v>⁠5000000000000000</x:v>
      </x:c>
      <x:c r="G8" s="14" t="str">
        <x:v>⁠0x9f71064f4d31ede08ea2e305fbbe1b3f4c903416fe7defe9f2b7ebdbb257c70f</x:v>
      </x:c>
      <x:c r="H8" s="14" t="str">
        <x:v>keccak256(abi.encode("NAME"))</x:v>
      </x:c>
      <x:c r="I8" s="14" t="str">
        <x:v>source-scan</x:v>
      </x:c>
      <x:c r="J8" s="14" t="str">
        <x:v>⁠46282993</x:v>
      </x:c>
    </x:row>
    <x:row r="9">
      <x:c r="A9" s="16" t="n">
        <x:v>8</x:v>
      </x:c>
      <x:c r="B9" s="14" t="str">
        <x:v>set-root</x:v>
      </x:c>
      <x:c r="C9" s="14" t="str">
        <x:v>MARKET_LIST</x:v>
      </x:c>
      <x:c r="D9" s="14" t="str">
        <x:v>uintCount</x:v>
      </x:c>
      <x:c r="E9" s="14" t="str">
        <x:v>uintCount</x:v>
      </x:c>
      <x:c r="F9" s="14" t="str">
        <x:v>⁠2</x:v>
      </x:c>
      <x:c r="G9" s="14" t="str">
        <x:v>⁠0xcdac201abd09598973b1365dbbaeb65ff0f370d30bb5c7440dc3341f570b2e38</x:v>
      </x:c>
      <x:c r="H9" s="14" t="str">
        <x:v>keccak256(abi.encode("NAME"))</x:v>
      </x:c>
      <x:c r="I9" s="14" t="str">
        <x:v>set-count</x:v>
      </x:c>
      <x:c r="J9" s="14" t="str">
        <x:v>⁠46282993</x:v>
      </x:c>
    </x:row>
    <x:row r="10">
      <x:c r="A10" s="16" t="n">
        <x:v>9</x:v>
      </x:c>
      <x:c r="B10" s="14" t="str">
        <x:v>global</x:v>
      </x:c>
      <x:c r="C10" s="14" t="str">
        <x:v>COLLATERAL_TOKEN</x:v>
      </x:c>
      <x:c r="D10" s="14" t="str"/>
      <x:c r="E10" s="14" t="str">
        <x:v>address</x:v>
      </x:c>
      <x:c r="F10" s="14" t="str">
        <x:v>⁠0xf300bbfb89106f54794aab6f7554ecfdaf32e154</x:v>
      </x:c>
      <x:c r="G10" s="14" t="str">
        <x:v>⁠0xd890cedaab800f07f6432ac38d67dd1adbee92bfb56f145ca33f99455f6398b4</x:v>
      </x:c>
      <x:c r="H10" s="14" t="str">
        <x:v>keccak256(abi.encode("NAME"))</x:v>
      </x:c>
      <x:c r="I10" s="14" t="str">
        <x:v>source-scan</x:v>
      </x:c>
      <x:c r="J10" s="14" t="str">
        <x:v>⁠46282993</x:v>
      </x:c>
    </x:row>
    <x:row r="11">
      <x:c r="A11" s="16" t="n">
        <x:v>10</x:v>
      </x:c>
      <x:c r="B11" s="14" t="str">
        <x:v>global</x:v>
      </x:c>
      <x:c r="C11" s="14" t="str">
        <x:v>MAX_PNL_FACTOR_FOR_ADL</x:v>
      </x:c>
      <x:c r="D11" s="14" t="str"/>
      <x:c r="E11" s="14" t="str">
        <x:v>uint</x:v>
      </x:c>
      <x:c r="F11" s="14" t="str">
        <x:v>⁠750000000000000000000000000000</x:v>
      </x:c>
      <x:c r="G11" s="14" t="str">
        <x:v>⁠0x95024a223e128da6224cc271671896642c5acb9ebf2f0432e71fcd87205177cf</x:v>
      </x:c>
      <x:c r="H11" s="14" t="str">
        <x:v>keccak256(abi.encode("NAME"))</x:v>
      </x:c>
      <x:c r="I11" s="14" t="str">
        <x:v>source-scan</x:v>
      </x:c>
      <x:c r="J11" s="14" t="str">
        <x:v>⁠46282993</x:v>
      </x:c>
    </x:row>
    <x:row r="12">
      <x:c r="A12" s="16" t="n">
        <x:v>11</x:v>
      </x:c>
      <x:c r="B12" s="14" t="str">
        <x:v>global</x:v>
      </x:c>
      <x:c r="C12" s="14" t="str">
        <x:v>MIN_PNL_FACTOR_AFTER_ADL</x:v>
      </x:c>
      <x:c r="D12" s="14" t="str"/>
      <x:c r="E12" s="14" t="str">
        <x:v>uint</x:v>
      </x:c>
      <x:c r="F12" s="14" t="str">
        <x:v>⁠500000000000000000000000000000</x:v>
      </x:c>
      <x:c r="G12" s="14" t="str">
        <x:v>⁠0x87d8ac296048efc64f5a826815f8d178cd3e6c3d6f367340cc963df0aca137c6</x:v>
      </x:c>
      <x:c r="H12" s="14" t="str">
        <x:v>keccak256(abi.encode("NAME"))</x:v>
      </x:c>
      <x:c r="I12" s="14" t="str">
        <x:v>source-scan</x:v>
      </x:c>
      <x:c r="J12" s="14" t="str">
        <x:v>⁠46282993</x:v>
      </x:c>
    </x:row>
    <x:row r="13">
      <x:c r="A13" s="16" t="n">
        <x:v>12</x:v>
      </x:c>
      <x:c r="B13" s="14" t="str">
        <x:v>global</x:v>
      </x:c>
      <x:c r="C13" s="14" t="str">
        <x:v>MAX_PNL_FACTOR_FOR_WITHDRAWALS</x:v>
      </x:c>
      <x:c r="D13" s="14" t="str"/>
      <x:c r="E13" s="14" t="str">
        <x:v>uint</x:v>
      </x:c>
      <x:c r="F13" s="14" t="str">
        <x:v>⁠650000000000000000000000000000</x:v>
      </x:c>
      <x:c r="G13" s="14" t="str">
        <x:v>⁠0xdd8747ceca84c84319e46661e0ee4095cc511df8c2208b6ff4e9d2b2e6930bb6</x:v>
      </x:c>
      <x:c r="H13" s="14" t="str">
        <x:v>keccak256(abi.encode("NAME"))</x:v>
      </x:c>
      <x:c r="I13" s="14" t="str">
        <x:v>source-scan</x:v>
      </x:c>
      <x:c r="J13" s="14" t="str">
        <x:v>⁠46282993</x:v>
      </x:c>
    </x:row>
    <x:row r="14">
      <x:c r="A14" s="16" t="n">
        <x:v>13</x:v>
      </x:c>
      <x:c r="B14" s="14" t="str">
        <x:v>global</x:v>
      </x:c>
      <x:c r="C14" s="14" t="str">
        <x:v>FEE_RECEIVER</x:v>
      </x:c>
      <x:c r="D14" s="14" t="str"/>
      <x:c r="E14" s="14" t="str">
        <x:v>address</x:v>
      </x:c>
      <x:c r="F14" s="14" t="str">
        <x:v>⁠0x48473691c59750ee8d1fa45cbad29f08d38092ac</x:v>
      </x:c>
      <x:c r="G14" s="14" t="str">
        <x:v>⁠0x27b063950f8f840ec54a6c89264fe84c340d2e36c5461ab6fdfb822573067108</x:v>
      </x:c>
      <x:c r="H14" s="14" t="str">
        <x:v>keccak256(abi.encode("NAME"))</x:v>
      </x:c>
      <x:c r="I14" s="14" t="str">
        <x:v>source-scan</x:v>
      </x:c>
      <x:c r="J14" s="14" t="str">
        <x:v>⁠46282993</x:v>
      </x:c>
    </x:row>
    <x:row r="15">
      <x:c r="A15" s="16" t="n">
        <x:v>14</x:v>
      </x:c>
      <x:c r="B15" s="14" t="str">
        <x:v>global</x:v>
      </x:c>
      <x:c r="C15" s="14" t="str">
        <x:v>MAX_AUTO_CANCEL_ORDERS</x:v>
      </x:c>
      <x:c r="D15" s="14" t="str"/>
      <x:c r="E15" s="14" t="str">
        <x:v>uint</x:v>
      </x:c>
      <x:c r="F15" s="14" t="str">
        <x:v>⁠64</x:v>
      </x:c>
      <x:c r="G15" s="14" t="str">
        <x:v>⁠0xef2fbe4143b9a96a7ea63d505c1a2113ad28c3698479c1a47d0f3bb2317476ec</x:v>
      </x:c>
      <x:c r="H15" s="14" t="str">
        <x:v>keccak256(abi.encode("NAME"))</x:v>
      </x:c>
      <x:c r="I15" s="14" t="str">
        <x:v>source-scan</x:v>
      </x:c>
      <x:c r="J15" s="14" t="str">
        <x:v>⁠46282993</x:v>
      </x:c>
    </x:row>
    <x:row r="16">
      <x:c r="A16" s="16" t="n">
        <x:v>15</x:v>
      </x:c>
      <x:c r="B16" s="14" t="str">
        <x:v>global</x:v>
      </x:c>
      <x:c r="C16" s="14" t="str">
        <x:v>MAX_TOTAL_CALLBACK_GAS_LIMIT_FOR_AUTO_CANCEL_ORDERS</x:v>
      </x:c>
      <x:c r="D16" s="14" t="str"/>
      <x:c r="E16" s="14" t="str">
        <x:v>uint</x:v>
      </x:c>
      <x:c r="F16" s="14" t="str">
        <x:v>⁠2000000</x:v>
      </x:c>
      <x:c r="G16" s="14" t="str">
        <x:v>⁠0xcd2f7ab10b6b4b1c3d84f3930c725280715c9c6fe1d9a80fe152b989578a3b90</x:v>
      </x:c>
      <x:c r="H16" s="14" t="str">
        <x:v>keccak256(abi.encode("NAME"))</x:v>
      </x:c>
      <x:c r="I16" s="14" t="str">
        <x:v>source-scan</x:v>
      </x:c>
      <x:c r="J16" s="14" t="str">
        <x:v>⁠46282993</x:v>
      </x:c>
    </x:row>
    <x:row r="17">
      <x:c r="A17" s="16" t="n">
        <x:v>16</x:v>
      </x:c>
      <x:c r="B17" s="14" t="str">
        <x:v>global</x:v>
      </x:c>
      <x:c r="C17" s="14" t="str">
        <x:v>MAX_ORACLE_PRICE_AGE</x:v>
      </x:c>
      <x:c r="D17" s="14" t="str"/>
      <x:c r="E17" s="14" t="str">
        <x:v>uint</x:v>
      </x:c>
      <x:c r="F17" s="14" t="str">
        <x:v>⁠60</x:v>
      </x:c>
      <x:c r="G17" s="14" t="str">
        <x:v>⁠0x2498be75403c532695a52aa481268f4d166a68f0d7468b5a879e2beb6ec70062</x:v>
      </x:c>
      <x:c r="H17" s="14" t="str">
        <x:v>keccak256(abi.encode("NAME"))</x:v>
      </x:c>
      <x:c r="I17" s="14" t="str">
        <x:v>source-scan</x:v>
      </x:c>
      <x:c r="J17" s="14" t="str">
        <x:v>⁠46282993</x:v>
      </x:c>
    </x:row>
    <x:row r="18">
      <x:c r="A18" s="16" t="n">
        <x:v>17</x:v>
      </x:c>
      <x:c r="B18" s="14" t="str">
        <x:v>global</x:v>
      </x:c>
      <x:c r="C18" s="14" t="str">
        <x:v>MAX_RECORDED_PRICE_AGE</x:v>
      </x:c>
      <x:c r="D18" s="14" t="str"/>
      <x:c r="E18" s="14" t="str">
        <x:v>uint</x:v>
      </x:c>
      <x:c r="F18" s="14" t="str">
        <x:v>⁠86400</x:v>
      </x:c>
      <x:c r="G18" s="14" t="str">
        <x:v>⁠0xc83c444bcd119490846c686c27f08afe01d79d379620a40281e02eb5c02f4eb1</x:v>
      </x:c>
      <x:c r="H18" s="14" t="str">
        <x:v>keccak256(abi.encode("NAME"))</x:v>
      </x:c>
      <x:c r="I18" s="14" t="str">
        <x:v>source-scan</x:v>
      </x:c>
      <x:c r="J18" s="14" t="str">
        <x:v>⁠46282993</x:v>
      </x:c>
    </x:row>
    <x:row r="19">
      <x:c r="A19" s="16" t="n">
        <x:v>18</x:v>
      </x:c>
      <x:c r="B19" s="14" t="str">
        <x:v>global</x:v>
      </x:c>
      <x:c r="C19" s="14" t="str">
        <x:v>MAX_ORACLE_TIMESTAMP_RANGE</x:v>
      </x:c>
      <x:c r="D19" s="14" t="str"/>
      <x:c r="E19" s="14" t="str">
        <x:v>uint</x:v>
      </x:c>
      <x:c r="F19" s="14" t="str">
        <x:v>⁠60</x:v>
      </x:c>
      <x:c r="G19" s="14" t="str">
        <x:v>⁠0xfd601530e028bbf3f82445e9cbecc952c0949c975b6e8b5b7faa42fad1df678a</x:v>
      </x:c>
      <x:c r="H19" s="14" t="str">
        <x:v>keccak256(abi.encode("NAME"))</x:v>
      </x:c>
      <x:c r="I19" s="14" t="str">
        <x:v>source-scan</x:v>
      </x:c>
      <x:c r="J19" s="14" t="str">
        <x:v>⁠46282993</x:v>
      </x:c>
    </x:row>
    <x:row r="20">
      <x:c r="A20" s="16" t="n">
        <x:v>19</x:v>
      </x:c>
      <x:c r="B20" s="14" t="str">
        <x:v>global</x:v>
      </x:c>
      <x:c r="C20" s="14" t="str">
        <x:v>MAX_ORACLE_REF_PRICE_DEVIATION_FACTOR</x:v>
      </x:c>
      <x:c r="D20" s="14" t="str"/>
      <x:c r="E20" s="14" t="str">
        <x:v>uint</x:v>
      </x:c>
      <x:c r="F20" s="14" t="str">
        <x:v>⁠20000000000000000000000000000</x:v>
      </x:c>
      <x:c r="G20" s="14" t="str">
        <x:v>⁠0x6ae871e17942129cc618ad90203e946883c7e6680e1ce7610c677123c024a4f1</x:v>
      </x:c>
      <x:c r="H20" s="14" t="str">
        <x:v>keccak256(abi.encode("NAME"))</x:v>
      </x:c>
      <x:c r="I20" s="14" t="str">
        <x:v>source-scan</x:v>
      </x:c>
      <x:c r="J20" s="14" t="str">
        <x:v>⁠46282993</x:v>
      </x:c>
    </x:row>
    <x:row r="21">
      <x:c r="A21" s="16" t="n">
        <x:v>20</x:v>
      </x:c>
      <x:c r="B21" s="14" t="str">
        <x:v>global</x:v>
      </x:c>
      <x:c r="C21" s="14" t="str">
        <x:v>CHAINLINK_PAYMENT_TOKEN</x:v>
      </x:c>
      <x:c r="D21" s="14" t="str"/>
      <x:c r="E21" s="14" t="str">
        <x:v>address</x:v>
      </x:c>
      <x:c r="F21" s="14" t="str">
        <x:v>⁠0xe4ab69c077896252fafbd49efd26b5d171a32410</x:v>
      </x:c>
      <x:c r="G21" s="14" t="str">
        <x:v>⁠0x03f726650f8538e1919c3c9b108cb96f42556acb1f879309ce67536879722687</x:v>
      </x:c>
      <x:c r="H21" s="14" t="str">
        <x:v>keccak256(abi.encode("NAME"))</x:v>
      </x:c>
      <x:c r="I21" s="14" t="str">
        <x:v>source-scan</x:v>
      </x:c>
      <x:c r="J21" s="14" t="str">
        <x:v>⁠46282993</x:v>
      </x:c>
    </x:row>
    <x:row r="22">
      <x:c r="A22" s="16" t="n">
        <x:v>21</x:v>
      </x:c>
      <x:c r="B22" s="14" t="str">
        <x:v>global</x:v>
      </x:c>
      <x:c r="C22" s="14" t="str">
        <x:v>POSITION_FEE_RECEIVER_FACTOR</x:v>
      </x:c>
      <x:c r="D22" s="14" t="str"/>
      <x:c r="E22" s="14" t="str">
        <x:v>uint</x:v>
      </x:c>
      <x:c r="F22" s="14" t="str">
        <x:v>⁠500000000000000000000000000000</x:v>
      </x:c>
      <x:c r="G22" s="14" t="str">
        <x:v>⁠0x2b88ca05099085c49a5b3a47bec5166e91b81ecf14c8e7defd75f6a0e89886df</x:v>
      </x:c>
      <x:c r="H22" s="14" t="str">
        <x:v>keccak256(abi.encode("NAME"))</x:v>
      </x:c>
      <x:c r="I22" s="14" t="str">
        <x:v>source-scan</x:v>
      </x:c>
      <x:c r="J22" s="14" t="str">
        <x:v>⁠46282993</x:v>
      </x:c>
    </x:row>
    <x:row r="23">
      <x:c r="A23" s="16" t="n">
        <x:v>22</x:v>
      </x:c>
      <x:c r="B23" s="14" t="str">
        <x:v>global</x:v>
      </x:c>
      <x:c r="C23" s="14" t="str">
        <x:v>LIQUIDATION_FEE_RECEIVER_FACTOR</x:v>
      </x:c>
      <x:c r="D23" s="14" t="str"/>
      <x:c r="E23" s="14" t="str">
        <x:v>uint</x:v>
      </x:c>
      <x:c r="F23" s="14" t="str">
        <x:v>⁠500000000000000000000000000000</x:v>
      </x:c>
      <x:c r="G23" s="14" t="str">
        <x:v>⁠0x218f21fe1eab2a2eb76441fd0510d8588f02b2e2d2b3d63ded1f7ca0c565258b</x:v>
      </x:c>
      <x:c r="H23" s="14" t="str">
        <x:v>keccak256(abi.encode("NAME"))</x:v>
      </x:c>
      <x:c r="I23" s="14" t="str">
        <x:v>source-scan</x:v>
      </x:c>
      <x:c r="J23" s="14" t="str">
        <x:v>⁠46282993</x:v>
      </x:c>
    </x:row>
    <x:row r="24">
      <x:c r="A24" s="16" t="n">
        <x:v>23</x:v>
      </x:c>
      <x:c r="B24" s="14" t="str">
        <x:v>global</x:v>
      </x:c>
      <x:c r="C24" s="14" t="str">
        <x:v>ESTIMATED_GAS_FEE_BASE_AMOUNT_V2_1</x:v>
      </x:c>
      <x:c r="D24" s="14" t="str"/>
      <x:c r="E24" s="14" t="str">
        <x:v>uint</x:v>
      </x:c>
      <x:c r="F24" s="14" t="str">
        <x:v>⁠600000</x:v>
      </x:c>
      <x:c r="G24" s="14" t="str">
        <x:v>⁠0x39288f227e5db9a793e9f4afb15aa22b77dbb7e410ffc973c816a19a6ed921cd</x:v>
      </x:c>
      <x:c r="H24" s="14" t="str">
        <x:v>keccak256(abi.encode("NAME"))</x:v>
      </x:c>
      <x:c r="I24" s="14" t="str">
        <x:v>source-scan</x:v>
      </x:c>
      <x:c r="J24" s="14" t="str">
        <x:v>⁠46282993</x:v>
      </x:c>
    </x:row>
    <x:row r="25">
      <x:c r="A25" s="16" t="n">
        <x:v>24</x:v>
      </x:c>
      <x:c r="B25" s="14" t="str">
        <x:v>global</x:v>
      </x:c>
      <x:c r="C25" s="14" t="str">
        <x:v>ESTIMATED_GAS_FEE_PER_ORACLE_PRICE</x:v>
      </x:c>
      <x:c r="D25" s="14" t="str"/>
      <x:c r="E25" s="14" t="str">
        <x:v>uint</x:v>
      </x:c>
      <x:c r="F25" s="14" t="str">
        <x:v>⁠250000</x:v>
      </x:c>
      <x:c r="G25" s="14" t="str">
        <x:v>⁠0xf95915378e4358fb5f51ae0fd75853a15a29a978eb14b73d5c5b7d69d3b9fccc</x:v>
      </x:c>
      <x:c r="H25" s="14" t="str">
        <x:v>keccak256(abi.encode("NAME"))</x:v>
      </x:c>
      <x:c r="I25" s="14" t="str">
        <x:v>source-scan</x:v>
      </x:c>
      <x:c r="J25" s="14" t="str">
        <x:v>⁠46282993</x:v>
      </x:c>
    </x:row>
    <x:row r="26">
      <x:c r="A26" s="16" t="n">
        <x:v>25</x:v>
      </x:c>
      <x:c r="B26" s="14" t="str">
        <x:v>global</x:v>
      </x:c>
      <x:c r="C26" s="14" t="str">
        <x:v>ESTIMATED_GAS_FEE_MULTIPLIER_FACTOR</x:v>
      </x:c>
      <x:c r="D26" s="14" t="str"/>
      <x:c r="E26" s="14" t="str">
        <x:v>uint</x:v>
      </x:c>
      <x:c r="F26" s="14" t="str">
        <x:v>⁠1000000000000000000000000000000</x:v>
      </x:c>
      <x:c r="G26" s="14" t="str">
        <x:v>⁠0xce135f2a886cf6d862269f215b1e64498fa09cb04f90b771b163399df2a82b81</x:v>
      </x:c>
      <x:c r="H26" s="14" t="str">
        <x:v>keccak256(abi.encode("NAME"))</x:v>
      </x:c>
      <x:c r="I26" s="14" t="str">
        <x:v>source-scan</x:v>
      </x:c>
      <x:c r="J26" s="14" t="str">
        <x:v>⁠46282993</x:v>
      </x:c>
    </x:row>
    <x:row r="27">
      <x:c r="A27" s="16" t="n">
        <x:v>26</x:v>
      </x:c>
      <x:c r="B27" s="14" t="str">
        <x:v>global</x:v>
      </x:c>
      <x:c r="C27" s="14" t="str">
        <x:v>MAX_RELAY_SWAP_WNT_CAP</x:v>
      </x:c>
      <x:c r="D27" s="14" t="str"/>
      <x:c r="E27" s="14" t="str">
        <x:v>uint</x:v>
      </x:c>
      <x:c r="F27" s="14" t="str">
        <x:v>⁠50000000000000</x:v>
      </x:c>
      <x:c r="G27" s="14" t="str">
        <x:v>⁠0x8400beecb6c4fc4127a8126e817c049e5138747a91a2e63edd8b9b0c32de20c3</x:v>
      </x:c>
      <x:c r="H27" s="14" t="str">
        <x:v>keccak256(abi.encode("NAME"))</x:v>
      </x:c>
      <x:c r="I27" s="14" t="str">
        <x:v>source-scan</x:v>
      </x:c>
      <x:c r="J27" s="14" t="str">
        <x:v>⁠46282993</x:v>
      </x:c>
    </x:row>
    <x:row r="28">
      <x:c r="A28" s="16" t="n">
        <x:v>27</x:v>
      </x:c>
      <x:c r="B28" s="14" t="str">
        <x:v>global</x:v>
      </x:c>
      <x:c r="C28" s="14" t="str">
        <x:v>RELAY_FEE_BASE_GAS_LIMIT</x:v>
      </x:c>
      <x:c r="D28" s="14" t="str"/>
      <x:c r="E28" s="14" t="str">
        <x:v>uint</x:v>
      </x:c>
      <x:c r="F28" s="14" t="str">
        <x:v>⁠30000</x:v>
      </x:c>
      <x:c r="G28" s="14" t="str">
        <x:v>⁠0xd4dfe3d351f800442b0b50da17280a4272d7309014ae9a0eb7811c3823a56a26</x:v>
      </x:c>
      <x:c r="H28" s="14" t="str">
        <x:v>keccak256(abi.encode("NAME"))</x:v>
      </x:c>
      <x:c r="I28" s="14" t="str">
        <x:v>source-scan</x:v>
      </x:c>
      <x:c r="J28" s="14" t="str">
        <x:v>⁠46282993</x:v>
      </x:c>
    </x:row>
    <x:row r="29">
      <x:c r="A29" s="16" t="n">
        <x:v>28</x:v>
      </x:c>
      <x:c r="B29" s="14" t="str">
        <x:v>global</x:v>
      </x:c>
      <x:c r="C29" s="14" t="str">
        <x:v>INCREASE_ORDER_GAS_LIMIT</x:v>
      </x:c>
      <x:c r="D29" s="14" t="str"/>
      <x:c r="E29" s="14" t="str">
        <x:v>uint</x:v>
      </x:c>
      <x:c r="F29" s="14" t="str">
        <x:v>⁠3900000</x:v>
      </x:c>
      <x:c r="G29" s="14" t="str">
        <x:v>⁠0x983e0a7f5307213e84497f2543331fe5e404db14ddf98f98dc956e0ee3ab6875</x:v>
      </x:c>
      <x:c r="H29" s="14" t="str">
        <x:v>keccak256(abi.encode("NAME"))</x:v>
      </x:c>
      <x:c r="I29" s="14" t="str">
        <x:v>source-scan</x:v>
      </x:c>
      <x:c r="J29" s="14" t="str">
        <x:v>⁠46282993</x:v>
      </x:c>
    </x:row>
    <x:row r="30">
      <x:c r="A30" s="16" t="n">
        <x:v>29</x:v>
      </x:c>
      <x:c r="B30" s="14" t="str">
        <x:v>global</x:v>
      </x:c>
      <x:c r="C30" s="14" t="str">
        <x:v>DECREASE_ORDER_GAS_LIMIT</x:v>
      </x:c>
      <x:c r="D30" s="14" t="str"/>
      <x:c r="E30" s="14" t="str">
        <x:v>uint</x:v>
      </x:c>
      <x:c r="F30" s="14" t="str">
        <x:v>⁠3900000</x:v>
      </x:c>
      <x:c r="G30" s="14" t="str">
        <x:v>⁠0xfce7a3444b72c2d30987163c1f2e6c00cffa03bf0b6ca2f077e8db006b4cae8b</x:v>
      </x:c>
      <x:c r="H30" s="14" t="str">
        <x:v>keccak256(abi.encode("NAME"))</x:v>
      </x:c>
      <x:c r="I30" s="14" t="str">
        <x:v>source-scan</x:v>
      </x:c>
      <x:c r="J30" s="14" t="str">
        <x:v>⁠46282993</x:v>
      </x:c>
    </x:row>
    <x:row r="31">
      <x:c r="A31" s="16" t="n">
        <x:v>30</x:v>
      </x:c>
      <x:c r="B31" s="14" t="str">
        <x:v>global</x:v>
      </x:c>
      <x:c r="C31" s="14" t="str">
        <x:v>NATIVE_TOKEN_TRANSFER_GAS_LIMIT</x:v>
      </x:c>
      <x:c r="D31" s="14" t="str"/>
      <x:c r="E31" s="14" t="str">
        <x:v>uint</x:v>
      </x:c>
      <x:c r="F31" s="14" t="str">
        <x:v>⁠200000</x:v>
      </x:c>
      <x:c r="G31" s="14" t="str">
        <x:v>⁠0xba4ba3faa47eef5c7b4406bc363e4b87dc12ebd5f379111429dfde09787195c7</x:v>
      </x:c>
      <x:c r="H31" s="14" t="str">
        <x:v>keccak256(abi.encode("NAME"))</x:v>
      </x:c>
      <x:c r="I31" s="14" t="str">
        <x:v>source-scan</x:v>
      </x:c>
      <x:c r="J31" s="14" t="str">
        <x:v>⁠46282993</x:v>
      </x:c>
    </x:row>
    <x:row r="32">
      <x:c r="A32" s="16" t="n">
        <x:v>31</x:v>
      </x:c>
      <x:c r="B32" s="14" t="str">
        <x:v>global</x:v>
      </x:c>
      <x:c r="C32" s="14" t="str">
        <x:v>REQUEST_EXPIRATION_TIME</x:v>
      </x:c>
      <x:c r="D32" s="14" t="str"/>
      <x:c r="E32" s="14" t="str">
        <x:v>uint</x:v>
      </x:c>
      <x:c r="F32" s="14" t="str">
        <x:v>⁠3600</x:v>
      </x:c>
      <x:c r="G32" s="14" t="str">
        <x:v>⁠0xf664ba0f4e5389df44705cd100171228b74c4f050a9f00bd873e95d25c49a273</x:v>
      </x:c>
      <x:c r="H32" s="14" t="str">
        <x:v>keccak256(abi.encode("NAME"))</x:v>
      </x:c>
      <x:c r="I32" s="14" t="str">
        <x:v>source-scan</x:v>
      </x:c>
      <x:c r="J32" s="14" t="str">
        <x:v>⁠46282993</x:v>
      </x:c>
    </x:row>
    <x:row r="33">
      <x:c r="A33" s="16" t="n">
        <x:v>32</x:v>
      </x:c>
      <x:c r="B33" s="14" t="str">
        <x:v>global</x:v>
      </x:c>
      <x:c r="C33" s="14" t="str">
        <x:v>MAX_CALLBACK_GAS_LIMIT</x:v>
      </x:c>
      <x:c r="D33" s="14" t="str"/>
      <x:c r="E33" s="14" t="str">
        <x:v>uint</x:v>
      </x:c>
      <x:c r="F33" s="14" t="str">
        <x:v>⁠2000000</x:v>
      </x:c>
      <x:c r="G33" s="14" t="str">
        <x:v>⁠0x96db769bd846fd256f553194bd23105f53fbbc15d04533f642d48a1ea161bfc4</x:v>
      </x:c>
      <x:c r="H33" s="14" t="str">
        <x:v>keccak256(abi.encode("NAME"))</x:v>
      </x:c>
      <x:c r="I33" s="14" t="str">
        <x:v>source-scan</x:v>
      </x:c>
      <x:c r="J33" s="14" t="str">
        <x:v>⁠46282993</x:v>
      </x:c>
    </x:row>
    <x:row r="34">
      <x:c r="A34" s="16" t="n">
        <x:v>33</x:v>
      </x:c>
      <x:c r="B34" s="14" t="str">
        <x:v>global</x:v>
      </x:c>
      <x:c r="C34" s="14" t="str">
        <x:v>MIN_POSITION_SIZE_USD</x:v>
      </x:c>
      <x:c r="D34" s="14" t="str"/>
      <x:c r="E34" s="14" t="str">
        <x:v>uint</x:v>
      </x:c>
      <x:c r="F34" s="14" t="str">
        <x:v>⁠10000000000000000000000000000000</x:v>
      </x:c>
      <x:c r="G34" s="14" t="str">
        <x:v>⁠0x48faddd525cc6e216bc2c62a7053b940a842e3c102782fb4da69ebeb8f7bd724</x:v>
      </x:c>
      <x:c r="H34" s="14" t="str">
        <x:v>keccak256(abi.encode("NAME"))</x:v>
      </x:c>
      <x:c r="I34" s="14" t="str">
        <x:v>source-scan</x:v>
      </x:c>
      <x:c r="J34" s="14" t="str">
        <x:v>⁠46282993</x:v>
      </x:c>
    </x:row>
    <x:row r="35">
      <x:c r="A35" s="16" t="n">
        <x:v>34</x:v>
      </x:c>
      <x:c r="B35" s="14" t="str">
        <x:v>global</x:v>
      </x:c>
      <x:c r="C35" s="14" t="str">
        <x:v>MAX_DATA_LENGTH</x:v>
      </x:c>
      <x:c r="D35" s="14" t="str"/>
      <x:c r="E35" s="14" t="str">
        <x:v>uint</x:v>
      </x:c>
      <x:c r="F35" s="14" t="str">
        <x:v>⁠32</x:v>
      </x:c>
      <x:c r="G35" s="14" t="str">
        <x:v>⁠0xefa49304bafedb997b280023ceb8fdc619a52bd764b5aff228285d898d8d1cc0</x:v>
      </x:c>
      <x:c r="H35" s="14" t="str">
        <x:v>keccak256(abi.encode("NAME"))</x:v>
      </x:c>
      <x:c r="I35" s="14" t="str">
        <x:v>source-scan</x:v>
      </x:c>
      <x:c r="J35" s="14" t="str">
        <x:v>⁠46282993</x:v>
      </x:c>
    </x:row>
    <x:row r="36">
      <x:c r="A36" s="16" t="n">
        <x:v>35</x:v>
      </x:c>
      <x:c r="B36" s="14" t="str">
        <x:v>derived</x:v>
      </x:c>
      <x:c r="C36" s="14" t="str">
        <x:v>POSITION_IMPACT_EXPONENT_FACTOR</x:v>
      </x:c>
      <x:c r="D36" s="14" t="str">
        <x:v>marketIndex=market#1 · BTC/UNKNOWN, isPositive=true</x:v>
      </x:c>
      <x:c r="E36" s="14" t="str">
        <x:v>uint</x:v>
      </x:c>
      <x:c r="F36" s="14" t="str">
        <x:v>⁠1000000000000000000000000000000</x:v>
      </x:c>
      <x:c r="G36" s="14" t="str">
        <x:v>⁠0x9f3df721fee95ff87675ed0952d30d999b482f13f4d1bec200432d88ab8c8c20</x:v>
      </x:c>
      <x:c r="H36" s="14" t="str">
        <x:v>keccak256(abi.encode(BASE,...args))</x:v>
      </x:c>
      <x:c r="I36" s="14" t="str">
        <x:v>probe</x:v>
      </x:c>
      <x:c r="J36" s="14" t="str">
        <x:v>⁠46282993</x:v>
      </x:c>
    </x:row>
    <x:row r="37">
      <x:c r="A37" s="16" t="n">
        <x:v>36</x:v>
      </x:c>
      <x:c r="B37" s="14" t="str">
        <x:v>derived</x:v>
      </x:c>
      <x:c r="C37" s="14" t="str">
        <x:v>POSITION_IMPACT_EXPONENT_FACTOR</x:v>
      </x:c>
      <x:c r="D37" s="14" t="str">
        <x:v>marketIndex=market#1 · BTC/UNKNOWN, isPositive=false</x:v>
      </x:c>
      <x:c r="E37" s="14" t="str">
        <x:v>uint</x:v>
      </x:c>
      <x:c r="F37" s="14" t="str">
        <x:v>⁠1000000000000000000000000000000</x:v>
      </x:c>
      <x:c r="G37" s="14" t="str">
        <x:v>⁠0x802fac6a1a840fef2538956badce224af9546ad1a7a0a55eb3941ed2347c9259</x:v>
      </x:c>
      <x:c r="H37" s="14" t="str">
        <x:v>keccak256(abi.encode(BASE,...args))</x:v>
      </x:c>
      <x:c r="I37" s="14" t="str">
        <x:v>probe</x:v>
      </x:c>
      <x:c r="J37" s="14" t="str">
        <x:v>⁠46282993</x:v>
      </x:c>
    </x:row>
    <x:row r="38">
      <x:c r="A38" s="16" t="n">
        <x:v>37</x:v>
      </x:c>
      <x:c r="B38" s="14" t="str">
        <x:v>derived</x:v>
      </x:c>
      <x:c r="C38" s="14" t="str">
        <x:v>POSITION_IMPACT_EXPONENT_FACTOR</x:v>
      </x:c>
      <x:c r="D38" s="14" t="str">
        <x:v>marketIndex=market#2 · WETH/UNKNOWN, isPositive=true</x:v>
      </x:c>
      <x:c r="E38" s="14" t="str">
        <x:v>uint</x:v>
      </x:c>
      <x:c r="F38" s="14" t="str">
        <x:v>⁠1000000000000000000000000000000</x:v>
      </x:c>
      <x:c r="G38" s="14" t="str">
        <x:v>⁠0x11b893f6e5e6e5c3e37c9e9838d1b0e1b327489f783fb7523698644e696586fb</x:v>
      </x:c>
      <x:c r="H38" s="14" t="str">
        <x:v>keccak256(abi.encode(BASE,...args))</x:v>
      </x:c>
      <x:c r="I38" s="14" t="str">
        <x:v>probe</x:v>
      </x:c>
      <x:c r="J38" s="14" t="str">
        <x:v>⁠46282993</x:v>
      </x:c>
    </x:row>
    <x:row r="39">
      <x:c r="A39" s="16" t="n">
        <x:v>38</x:v>
      </x:c>
      <x:c r="B39" s="14" t="str">
        <x:v>derived</x:v>
      </x:c>
      <x:c r="C39" s="14" t="str">
        <x:v>POSITION_IMPACT_EXPONENT_FACTOR</x:v>
      </x:c>
      <x:c r="D39" s="14" t="str">
        <x:v>marketIndex=market#2 · WETH/UNKNOWN, isPositive=false</x:v>
      </x:c>
      <x:c r="E39" s="14" t="str">
        <x:v>uint</x:v>
      </x:c>
      <x:c r="F39" s="14" t="str">
        <x:v>⁠1000000000000000000000000000000</x:v>
      </x:c>
      <x:c r="G39" s="14" t="str">
        <x:v>⁠0x5bdd7b2eda45c33f9144d043f9f424f5b85d998630e653b7639d8e70d0cbd801</x:v>
      </x:c>
      <x:c r="H39" s="14" t="str">
        <x:v>keccak256(abi.encode(BASE,...args))</x:v>
      </x:c>
      <x:c r="I39" s="14" t="str">
        <x:v>probe</x:v>
      </x:c>
      <x:c r="J39" s="14" t="str">
        <x:v>⁠46282993</x:v>
      </x:c>
    </x:row>
    <x:row r="40">
      <x:c r="A40" s="16" t="n">
        <x:v>39</x:v>
      </x:c>
      <x:c r="B40" s="14" t="str">
        <x:v>derived</x:v>
      </x:c>
      <x:c r="C40" s="14" t="str">
        <x:v>CONSTANT_PRICE_SPREAD</x:v>
      </x:c>
      <x:c r="D40" s="14" t="str">
        <x:v>marketIndex=market#1 · BTC/UNKNOWN</x:v>
      </x:c>
      <x:c r="E40" s="14" t="str">
        <x:v>uint</x:v>
      </x:c>
      <x:c r="F40" s="14" t="str">
        <x:v>⁠100000000000000</x:v>
      </x:c>
      <x:c r="G40" s="14" t="str">
        <x:v>⁠0x3c0c3a3cf760cb1dc97a11d3633fab4acc28dc0e701027b421026f4f9bd349a3</x:v>
      </x:c>
      <x:c r="H40" s="14" t="str">
        <x:v>keccak256(abi.encode(BASE,...args))</x:v>
      </x:c>
      <x:c r="I40" s="14" t="str">
        <x:v>source-scan</x:v>
      </x:c>
      <x:c r="J40" s="14" t="str">
        <x:v>⁠46282993</x:v>
      </x:c>
    </x:row>
    <x:row r="41">
      <x:c r="A41" s="16" t="n">
        <x:v>40</x:v>
      </x:c>
      <x:c r="B41" s="14" t="str">
        <x:v>derived</x:v>
      </x:c>
      <x:c r="C41" s="14" t="str">
        <x:v>CONSTANT_PRICE_SPREAD</x:v>
      </x:c>
      <x:c r="D41" s="14" t="str">
        <x:v>marketIndex=market#2 · WETH/UNKNOWN</x:v>
      </x:c>
      <x:c r="E41" s="14" t="str">
        <x:v>uint</x:v>
      </x:c>
      <x:c r="F41" s="14" t="str">
        <x:v>⁠100000000000000</x:v>
      </x:c>
      <x:c r="G41" s="14" t="str">
        <x:v>⁠0x14d785e8c68f3cd8b1948067fd68cc07b9d10ff6ff2fe5c28795d4fd3ca641ad</x:v>
      </x:c>
      <x:c r="H41" s="14" t="str">
        <x:v>keccak256(abi.encode(BASE,...args))</x:v>
      </x:c>
      <x:c r="I41" s="14" t="str">
        <x:v>source-scan</x:v>
      </x:c>
      <x:c r="J41" s="14" t="str">
        <x:v>⁠46282993</x:v>
      </x:c>
    </x:row>
    <x:row r="42">
      <x:c r="A42" s="16" t="n">
        <x:v>41</x:v>
      </x:c>
      <x:c r="B42" s="14" t="str">
        <x:v>derived</x:v>
      </x:c>
      <x:c r="C42" s="14" t="str">
        <x:v>MIN_DYNAMIC_SPREAD</x:v>
      </x:c>
      <x:c r="D42" s="14" t="str">
        <x:v>marketIndex=market#1 · BTC/UNKNOWN, isLong=true</x:v>
      </x:c>
      <x:c r="E42" s="14" t="str">
        <x:v>int</x:v>
      </x:c>
      <x:c r="F42" s="14" t="str">
        <x:v>⁠-20000000000000000</x:v>
      </x:c>
      <x:c r="G42" s="14" t="str">
        <x:v>⁠0xea35f55e404fafa8287a4168e13971f9aa9d5b7c13f7ab16cdc5ecb67ab5a214</x:v>
      </x:c>
      <x:c r="H42" s="14" t="str">
        <x:v>keccak256(abi.encode(BASE,...args))</x:v>
      </x:c>
      <x:c r="I42" s="14" t="str">
        <x:v>source-scan</x:v>
      </x:c>
      <x:c r="J42" s="14" t="str">
        <x:v>⁠46282993</x:v>
      </x:c>
    </x:row>
    <x:row r="43">
      <x:c r="A43" s="16" t="n">
        <x:v>42</x:v>
      </x:c>
      <x:c r="B43" s="14" t="str">
        <x:v>derived</x:v>
      </x:c>
      <x:c r="C43" s="14" t="str">
        <x:v>MIN_DYNAMIC_SPREAD</x:v>
      </x:c>
      <x:c r="D43" s="14" t="str">
        <x:v>marketIndex=market#1 · BTC/UNKNOWN, isLong=false</x:v>
      </x:c>
      <x:c r="E43" s="14" t="str">
        <x:v>int</x:v>
      </x:c>
      <x:c r="F43" s="14" t="str">
        <x:v>⁠-20000000000000000</x:v>
      </x:c>
      <x:c r="G43" s="14" t="str">
        <x:v>⁠0xf1ac59963425c97154f547397d25e5ea6da495ee29d7b2140115a47a0ea22d81</x:v>
      </x:c>
      <x:c r="H43" s="14" t="str">
        <x:v>keccak256(abi.encode(BASE,...args))</x:v>
      </x:c>
      <x:c r="I43" s="14" t="str">
        <x:v>source-scan</x:v>
      </x:c>
      <x:c r="J43" s="14" t="str">
        <x:v>⁠46282993</x:v>
      </x:c>
    </x:row>
    <x:row r="44">
      <x:c r="A44" s="16" t="n">
        <x:v>43</x:v>
      </x:c>
      <x:c r="B44" s="14" t="str">
        <x:v>derived</x:v>
      </x:c>
      <x:c r="C44" s="14" t="str">
        <x:v>MIN_DYNAMIC_SPREAD</x:v>
      </x:c>
      <x:c r="D44" s="14" t="str">
        <x:v>marketIndex=market#2 · WETH/UNKNOWN, isLong=true</x:v>
      </x:c>
      <x:c r="E44" s="14" t="str">
        <x:v>int</x:v>
      </x:c>
      <x:c r="F44" s="14" t="str">
        <x:v>⁠-20000000000000000</x:v>
      </x:c>
      <x:c r="G44" s="14" t="str">
        <x:v>⁠0xa530e94986681ad31bf89a128d8b85606e10e86efa7ac5c426583af5fd0c05ba</x:v>
      </x:c>
      <x:c r="H44" s="14" t="str">
        <x:v>keccak256(abi.encode(BASE,...args))</x:v>
      </x:c>
      <x:c r="I44" s="14" t="str">
        <x:v>source-scan</x:v>
      </x:c>
      <x:c r="J44" s="14" t="str">
        <x:v>⁠46282993</x:v>
      </x:c>
    </x:row>
    <x:row r="45">
      <x:c r="A45" s="16" t="n">
        <x:v>44</x:v>
      </x:c>
      <x:c r="B45" s="14" t="str">
        <x:v>derived</x:v>
      </x:c>
      <x:c r="C45" s="14" t="str">
        <x:v>MIN_DYNAMIC_SPREAD</x:v>
      </x:c>
      <x:c r="D45" s="14" t="str">
        <x:v>marketIndex=market#2 · WETH/UNKNOWN, isLong=false</x:v>
      </x:c>
      <x:c r="E45" s="14" t="str">
        <x:v>int</x:v>
      </x:c>
      <x:c r="F45" s="14" t="str">
        <x:v>⁠-20000000000000000</x:v>
      </x:c>
      <x:c r="G45" s="14" t="str">
        <x:v>⁠0x98c94e5bf39c17f4bc9989f951d29a8bebdccd0df5d8017d3d0aad6897b4b412</x:v>
      </x:c>
      <x:c r="H45" s="14" t="str">
        <x:v>keccak256(abi.encode(BASE,...args))</x:v>
      </x:c>
      <x:c r="I45" s="14" t="str">
        <x:v>source-scan</x:v>
      </x:c>
      <x:c r="J45" s="14" t="str">
        <x:v>⁠46282993</x:v>
      </x:c>
    </x:row>
    <x:row r="46">
      <x:c r="A46" s="16" t="n">
        <x:v>45</x:v>
      </x:c>
      <x:c r="B46" s="14" t="str">
        <x:v>derived</x:v>
      </x:c>
      <x:c r="C46" s="14" t="str">
        <x:v>MAX_DYNAMIC_SPREAD</x:v>
      </x:c>
      <x:c r="D46" s="14" t="str">
        <x:v>marketIndex=market#1 · BTC/UNKNOWN, isLong=true</x:v>
      </x:c>
      <x:c r="E46" s="14" t="str">
        <x:v>int</x:v>
      </x:c>
      <x:c r="F46" s="14" t="str">
        <x:v>⁠1000000000000000000</x:v>
      </x:c>
      <x:c r="G46" s="14" t="str">
        <x:v>⁠0x683b4f4a55f38871181c5c836898845cd4037343689a56ffecdfac903f4a7aaa</x:v>
      </x:c>
      <x:c r="H46" s="14" t="str">
        <x:v>keccak256(abi.encode(BASE,...args))</x:v>
      </x:c>
      <x:c r="I46" s="14" t="str">
        <x:v>source-scan</x:v>
      </x:c>
      <x:c r="J46" s="14" t="str">
        <x:v>⁠46282993</x:v>
      </x:c>
    </x:row>
    <x:row r="47">
      <x:c r="A47" s="16" t="n">
        <x:v>46</x:v>
      </x:c>
      <x:c r="B47" s="14" t="str">
        <x:v>derived</x:v>
      </x:c>
      <x:c r="C47" s="14" t="str">
        <x:v>MAX_DYNAMIC_SPREAD</x:v>
      </x:c>
      <x:c r="D47" s="14" t="str">
        <x:v>marketIndex=market#1 · BTC/UNKNOWN, isLong=false</x:v>
      </x:c>
      <x:c r="E47" s="14" t="str">
        <x:v>int</x:v>
      </x:c>
      <x:c r="F47" s="14" t="str">
        <x:v>⁠1000000000000000000</x:v>
      </x:c>
      <x:c r="G47" s="14" t="str">
        <x:v>⁠0x6efa7a2ffb0af105761a72190d0b46f44e6c4af1028b219aa1a3ab7a57312063</x:v>
      </x:c>
      <x:c r="H47" s="14" t="str">
        <x:v>keccak256(abi.encode(BASE,...args))</x:v>
      </x:c>
      <x:c r="I47" s="14" t="str">
        <x:v>source-scan</x:v>
      </x:c>
      <x:c r="J47" s="14" t="str">
        <x:v>⁠46282993</x:v>
      </x:c>
    </x:row>
    <x:row r="48">
      <x:c r="A48" s="16" t="n">
        <x:v>47</x:v>
      </x:c>
      <x:c r="B48" s="14" t="str">
        <x:v>derived</x:v>
      </x:c>
      <x:c r="C48" s="14" t="str">
        <x:v>MAX_DYNAMIC_SPREAD</x:v>
      </x:c>
      <x:c r="D48" s="14" t="str">
        <x:v>marketIndex=market#2 · WETH/UNKNOWN, isLong=true</x:v>
      </x:c>
      <x:c r="E48" s="14" t="str">
        <x:v>int</x:v>
      </x:c>
      <x:c r="F48" s="14" t="str">
        <x:v>⁠1000000000000000000</x:v>
      </x:c>
      <x:c r="G48" s="14" t="str">
        <x:v>⁠0x81b0761215c603119df51eea85da674da1e455d4504791c4c7a6c6b4abc21c69</x:v>
      </x:c>
      <x:c r="H48" s="14" t="str">
        <x:v>keccak256(abi.encode(BASE,...args))</x:v>
      </x:c>
      <x:c r="I48" s="14" t="str">
        <x:v>source-scan</x:v>
      </x:c>
      <x:c r="J48" s="14" t="str">
        <x:v>⁠46282993</x:v>
      </x:c>
    </x:row>
    <x:row r="49">
      <x:c r="A49" s="16" t="n">
        <x:v>48</x:v>
      </x:c>
      <x:c r="B49" s="14" t="str">
        <x:v>derived</x:v>
      </x:c>
      <x:c r="C49" s="14" t="str">
        <x:v>MAX_DYNAMIC_SPREAD</x:v>
      </x:c>
      <x:c r="D49" s="14" t="str">
        <x:v>marketIndex=market#2 · WETH/UNKNOWN, isLong=false</x:v>
      </x:c>
      <x:c r="E49" s="14" t="str">
        <x:v>int</x:v>
      </x:c>
      <x:c r="F49" s="14" t="str">
        <x:v>⁠1000000000000000000</x:v>
      </x:c>
      <x:c r="G49" s="14" t="str">
        <x:v>⁠0x69f78cc7ed3f3c9bba7b69780dd3905ea2f3f9e8537a3e350feaaff239a572c6</x:v>
      </x:c>
      <x:c r="H49" s="14" t="str">
        <x:v>keccak256(abi.encode(BASE,...args))</x:v>
      </x:c>
      <x:c r="I49" s="14" t="str">
        <x:v>source-scan</x:v>
      </x:c>
      <x:c r="J49" s="14" t="str">
        <x:v>⁠46282993</x:v>
      </x:c>
    </x:row>
    <x:row r="50">
      <x:c r="A50" s="16" t="n">
        <x:v>49</x:v>
      </x:c>
      <x:c r="B50" s="14" t="str">
        <x:v>derived</x:v>
      </x:c>
      <x:c r="C50" s="14" t="str">
        <x:v>BID_ORDER_BOOK_DEPTH</x:v>
      </x:c>
      <x:c r="D50" s="14" t="str">
        <x:v>marketIndex=market#1 · BTC/UNKNOWN</x:v>
      </x:c>
      <x:c r="E50" s="14" t="str">
        <x:v>uint</x:v>
      </x:c>
      <x:c r="F50" s="14" t="str">
        <x:v>⁠15217320430000000000000000000000000000</x:v>
      </x:c>
      <x:c r="G50" s="14" t="str">
        <x:v>⁠0x29df3dcfd0e2ec9ada2f8538f0ae59e30c4e8cb7b88a599119da975907fa8d81</x:v>
      </x:c>
      <x:c r="H50" s="14" t="str">
        <x:v>keccak256(abi.encode(BASE,...args))</x:v>
      </x:c>
      <x:c r="I50" s="14" t="str">
        <x:v>source-scan</x:v>
      </x:c>
      <x:c r="J50" s="14" t="str">
        <x:v>⁠46282993</x:v>
      </x:c>
    </x:row>
    <x:row r="51">
      <x:c r="A51" s="16" t="n">
        <x:v>50</x:v>
      </x:c>
      <x:c r="B51" s="14" t="str">
        <x:v>derived</x:v>
      </x:c>
      <x:c r="C51" s="14" t="str">
        <x:v>BID_ORDER_BOOK_DEPTH</x:v>
      </x:c>
      <x:c r="D51" s="14" t="str">
        <x:v>marketIndex=market#2 · WETH/UNKNOWN</x:v>
      </x:c>
      <x:c r="E51" s="14" t="str">
        <x:v>uint</x:v>
      </x:c>
      <x:c r="F51" s="14" t="str">
        <x:v>⁠7767179170000000000000000000000000000</x:v>
      </x:c>
      <x:c r="G51" s="14" t="str">
        <x:v>⁠0x95bc110ddd74956119584e73c55286e1910ba0e83a5df5097cd05ba503112c62</x:v>
      </x:c>
      <x:c r="H51" s="14" t="str">
        <x:v>keccak256(abi.encode(BASE,...args))</x:v>
      </x:c>
      <x:c r="I51" s="14" t="str">
        <x:v>source-scan</x:v>
      </x:c>
      <x:c r="J51" s="14" t="str">
        <x:v>⁠46282993</x:v>
      </x:c>
    </x:row>
    <x:row r="52">
      <x:c r="A52" s="16" t="n">
        <x:v>51</x:v>
      </x:c>
      <x:c r="B52" s="14" t="str">
        <x:v>derived</x:v>
      </x:c>
      <x:c r="C52" s="14" t="str">
        <x:v>ASK_ORDER_BOOK_DEPTH</x:v>
      </x:c>
      <x:c r="D52" s="14" t="str">
        <x:v>marketIndex=market#1 · BTC/UNKNOWN</x:v>
      </x:c>
      <x:c r="E52" s="14" t="str">
        <x:v>uint</x:v>
      </x:c>
      <x:c r="F52" s="14" t="str">
        <x:v>⁠15593281790000000000000000000000000000</x:v>
      </x:c>
      <x:c r="G52" s="14" t="str">
        <x:v>⁠0xafc47997cc15e6c22cf415aff80b92c539e5353791663b0004e87589fce464fe</x:v>
      </x:c>
      <x:c r="H52" s="14" t="str">
        <x:v>keccak256(abi.encode(BASE,...args))</x:v>
      </x:c>
      <x:c r="I52" s="14" t="str">
        <x:v>source-scan</x:v>
      </x:c>
      <x:c r="J52" s="14" t="str">
        <x:v>⁠46282993</x:v>
      </x:c>
    </x:row>
    <x:row r="53">
      <x:c r="A53" s="16" t="n">
        <x:v>52</x:v>
      </x:c>
      <x:c r="B53" s="14" t="str">
        <x:v>derived</x:v>
      </x:c>
      <x:c r="C53" s="14" t="str">
        <x:v>ASK_ORDER_BOOK_DEPTH</x:v>
      </x:c>
      <x:c r="D53" s="14" t="str">
        <x:v>marketIndex=market#2 · WETH/UNKNOWN</x:v>
      </x:c>
      <x:c r="E53" s="14" t="str">
        <x:v>uint</x:v>
      </x:c>
      <x:c r="F53" s="14" t="str">
        <x:v>⁠7923961270000000000000000000000000000</x:v>
      </x:c>
      <x:c r="G53" s="14" t="str">
        <x:v>⁠0x72de0839fd2645d456754a8df1246d20b6ecb66d5dbb97f723609308ddfe748a</x:v>
      </x:c>
      <x:c r="H53" s="14" t="str">
        <x:v>keccak256(abi.encode(BASE,...args))</x:v>
      </x:c>
      <x:c r="I53" s="14" t="str">
        <x:v>source-scan</x:v>
      </x:c>
      <x:c r="J53" s="14" t="str">
        <x:v>⁠46282993</x:v>
      </x:c>
    </x:row>
    <x:row r="54">
      <x:c r="A54" s="16" t="n">
        <x:v>53</x:v>
      </x:c>
      <x:c r="B54" s="14" t="str">
        <x:v>derived</x:v>
      </x:c>
      <x:c r="C54" s="14" t="str">
        <x:v>PRICE_IMPACT_PARAMETER</x:v>
      </x:c>
      <x:c r="D54" s="14" t="str">
        <x:v>marketIndex=market#1 · BTC/UNKNOWN</x:v>
      </x:c>
      <x:c r="E54" s="14" t="str">
        <x:v>uint</x:v>
      </x:c>
      <x:c r="F54" s="14" t="str">
        <x:v>⁠500000000000000000</x:v>
      </x:c>
      <x:c r="G54" s="14" t="str">
        <x:v>⁠0x135cd0e2b5116a8142383a7ebdc941d98034b9038b05ddc87aa9cf45e08e9ccf</x:v>
      </x:c>
      <x:c r="H54" s="14" t="str">
        <x:v>keccak256(abi.encode(BASE,...args))</x:v>
      </x:c>
      <x:c r="I54" s="14" t="str">
        <x:v>source-scan</x:v>
      </x:c>
      <x:c r="J54" s="14" t="str">
        <x:v>⁠46282993</x:v>
      </x:c>
    </x:row>
    <x:row r="55">
      <x:c r="A55" s="16" t="n">
        <x:v>54</x:v>
      </x:c>
      <x:c r="B55" s="14" t="str">
        <x:v>derived</x:v>
      </x:c>
      <x:c r="C55" s="14" t="str">
        <x:v>PRICE_IMPACT_PARAMETER</x:v>
      </x:c>
      <x:c r="D55" s="14" t="str">
        <x:v>marketIndex=market#2 · WETH/UNKNOWN</x:v>
      </x:c>
      <x:c r="E55" s="14" t="str">
        <x:v>uint</x:v>
      </x:c>
      <x:c r="F55" s="14" t="str">
        <x:v>⁠600000000000000000</x:v>
      </x:c>
      <x:c r="G55" s="14" t="str">
        <x:v>⁠0x266a3505c9708b92de8f1db10ae27b6473acb0a8e46db4d37909497d6d341d64</x:v>
      </x:c>
      <x:c r="H55" s="14" t="str">
        <x:v>keccak256(abi.encode(BASE,...args))</x:v>
      </x:c>
      <x:c r="I55" s="14" t="str">
        <x:v>source-scan</x:v>
      </x:c>
      <x:c r="J55" s="14" t="str">
        <x:v>⁠46282993</x:v>
      </x:c>
    </x:row>
    <x:row r="56">
      <x:c r="A56" s="16" t="n">
        <x:v>55</x:v>
      </x:c>
      <x:c r="B56" s="14" t="str">
        <x:v>derived</x:v>
      </x:c>
      <x:c r="C56" s="14" t="str">
        <x:v>SKEW_IMPACT_FACTOR</x:v>
      </x:c>
      <x:c r="D56" s="14" t="str">
        <x:v>marketIndex=market#1 · BTC/UNKNOWN</x:v>
      </x:c>
      <x:c r="E56" s="14" t="str">
        <x:v>int</x:v>
      </x:c>
      <x:c r="F56" s="14" t="str">
        <x:v>⁠10000000000000000</x:v>
      </x:c>
      <x:c r="G56" s="14" t="str">
        <x:v>⁠0xf65a6723320effb821287591877e16ae2fd28f4280c71f4f0759221f52292de6</x:v>
      </x:c>
      <x:c r="H56" s="14" t="str">
        <x:v>keccak256(abi.encode(BASE,...args))</x:v>
      </x:c>
      <x:c r="I56" s="14" t="str">
        <x:v>source-scan</x:v>
      </x:c>
      <x:c r="J56" s="14" t="str">
        <x:v>⁠46282993</x:v>
      </x:c>
    </x:row>
    <x:row r="57">
      <x:c r="A57" s="16" t="n">
        <x:v>56</x:v>
      </x:c>
      <x:c r="B57" s="14" t="str">
        <x:v>derived</x:v>
      </x:c>
      <x:c r="C57" s="14" t="str">
        <x:v>SKEW_IMPACT_FACTOR</x:v>
      </x:c>
      <x:c r="D57" s="14" t="str">
        <x:v>marketIndex=market#2 · WETH/UNKNOWN</x:v>
      </x:c>
      <x:c r="E57" s="14" t="str">
        <x:v>int</x:v>
      </x:c>
      <x:c r="F57" s="14" t="str">
        <x:v>⁠2500000000000000</x:v>
      </x:c>
      <x:c r="G57" s="14" t="str">
        <x:v>⁠0x789e4982d7b23f9ff7f0f2230f7a3dcbd1c2389683ea5fbcaa13c709a3671ee7</x:v>
      </x:c>
      <x:c r="H57" s="14" t="str">
        <x:v>keccak256(abi.encode(BASE,...args))</x:v>
      </x:c>
      <x:c r="I57" s="14" t="str">
        <x:v>source-scan</x:v>
      </x:c>
      <x:c r="J57" s="14" t="str">
        <x:v>⁠46282993</x:v>
      </x:c>
    </x:row>
    <x:row r="58">
      <x:c r="A58" s="16" t="n">
        <x:v>57</x:v>
      </x:c>
      <x:c r="B58" s="14" t="str">
        <x:v>derived</x:v>
      </x:c>
      <x:c r="C58" s="14" t="str">
        <x:v>MIN_SKEW_IMPACT</x:v>
      </x:c>
      <x:c r="D58" s="14" t="str">
        <x:v>marketIndex=market#1 · BTC/UNKNOWN</x:v>
      </x:c>
      <x:c r="E58" s="14" t="str">
        <x:v>int</x:v>
      </x:c>
      <x:c r="F58" s="14" t="str">
        <x:v>⁠-5000000000000000</x:v>
      </x:c>
      <x:c r="G58" s="14" t="str">
        <x:v>⁠0x12d64cc629c03e0f84001b3642546d14bef8489f24472db9674b313b3c4c1d7d</x:v>
      </x:c>
      <x:c r="H58" s="14" t="str">
        <x:v>keccak256(abi.encode(BASE,...args))</x:v>
      </x:c>
      <x:c r="I58" s="14" t="str">
        <x:v>source-scan</x:v>
      </x:c>
      <x:c r="J58" s="14" t="str">
        <x:v>⁠46282993</x:v>
      </x:c>
    </x:row>
    <x:row r="59">
      <x:c r="A59" s="16" t="n">
        <x:v>58</x:v>
      </x:c>
      <x:c r="B59" s="14" t="str">
        <x:v>derived</x:v>
      </x:c>
      <x:c r="C59" s="14" t="str">
        <x:v>MIN_SKEW_IMPACT</x:v>
      </x:c>
      <x:c r="D59" s="14" t="str">
        <x:v>marketIndex=market#2 · WETH/UNKNOWN</x:v>
      </x:c>
      <x:c r="E59" s="14" t="str">
        <x:v>int</x:v>
      </x:c>
      <x:c r="F59" s="14" t="str">
        <x:v>⁠-5000000000000000</x:v>
      </x:c>
      <x:c r="G59" s="14" t="str">
        <x:v>⁠0xe8883d55022d7f92529eb3289081a296663a98255dc9746cd5a3824ead467dc9</x:v>
      </x:c>
      <x:c r="H59" s="14" t="str">
        <x:v>keccak256(abi.encode(BASE,...args))</x:v>
      </x:c>
      <x:c r="I59" s="14" t="str">
        <x:v>source-scan</x:v>
      </x:c>
      <x:c r="J59" s="14" t="str">
        <x:v>⁠46282993</x:v>
      </x:c>
    </x:row>
    <x:row r="60">
      <x:c r="A60" s="16" t="n">
        <x:v>59</x:v>
      </x:c>
      <x:c r="B60" s="14" t="str">
        <x:v>derived</x:v>
      </x:c>
      <x:c r="C60" s="14" t="str">
        <x:v>MAX_SKEW_IMPACT</x:v>
      </x:c>
      <x:c r="D60" s="14" t="str">
        <x:v>marketIndex=market#1 · BTC/UNKNOWN</x:v>
      </x:c>
      <x:c r="E60" s="14" t="str">
        <x:v>int</x:v>
      </x:c>
      <x:c r="F60" s="14" t="str">
        <x:v>⁠5000000000000000</x:v>
      </x:c>
      <x:c r="G60" s="14" t="str">
        <x:v>⁠0xeb19a9ff37f39642e5c616cf05fa8430a873888dcdc215ddb93ef78e6857bc9c</x:v>
      </x:c>
      <x:c r="H60" s="14" t="str">
        <x:v>keccak256(abi.encode(BASE,...args))</x:v>
      </x:c>
      <x:c r="I60" s="14" t="str">
        <x:v>source-scan</x:v>
      </x:c>
      <x:c r="J60" s="14" t="str">
        <x:v>⁠46282993</x:v>
      </x:c>
    </x:row>
    <x:row r="61">
      <x:c r="A61" s="16" t="n">
        <x:v>60</x:v>
      </x:c>
      <x:c r="B61" s="14" t="str">
        <x:v>derived</x:v>
      </x:c>
      <x:c r="C61" s="14" t="str">
        <x:v>MAX_SKEW_IMPACT</x:v>
      </x:c>
      <x:c r="D61" s="14" t="str">
        <x:v>marketIndex=market#2 · WETH/UNKNOWN</x:v>
      </x:c>
      <x:c r="E61" s="14" t="str">
        <x:v>int</x:v>
      </x:c>
      <x:c r="F61" s="14" t="str">
        <x:v>⁠5000000000000000</x:v>
      </x:c>
      <x:c r="G61" s="14" t="str">
        <x:v>⁠0x21b52342d70330d0c6c9bb26a8006f82fc6c825b6d4e9aa4ccce2fb436bdce21</x:v>
      </x:c>
      <x:c r="H61" s="14" t="str">
        <x:v>keccak256(abi.encode(BASE,...args))</x:v>
      </x:c>
      <x:c r="I61" s="14" t="str">
        <x:v>source-scan</x:v>
      </x:c>
      <x:c r="J61" s="14" t="str">
        <x:v>⁠46282993</x:v>
      </x:c>
    </x:row>
    <x:row r="62">
      <x:c r="A62" s="16" t="n">
        <x:v>61</x:v>
      </x:c>
      <x:c r="B62" s="14" t="str">
        <x:v>derived</x:v>
      </x:c>
      <x:c r="C62" s="14" t="str">
        <x:v>MAX_OPEN_INTEREST</x:v>
      </x:c>
      <x:c r="D62" s="14" t="str">
        <x:v>marketIndex=market#1 · BTC/UNKNOWN, isLong=true</x:v>
      </x:c>
      <x:c r="E62" s="14" t="str">
        <x:v>uint</x:v>
      </x:c>
      <x:c r="F62" s="14" t="str">
        <x:v>⁠40000000000000000000000000000000000000</x:v>
      </x:c>
      <x:c r="G62" s="14" t="str">
        <x:v>⁠0x493ad52198982d709518f83c2335d646e658bb7885df51df2acb6d926c557aef</x:v>
      </x:c>
      <x:c r="H62" s="14" t="str">
        <x:v>keccak256(abi.encode(BASE,...args))</x:v>
      </x:c>
      <x:c r="I62" s="14" t="str">
        <x:v>source-scan</x:v>
      </x:c>
      <x:c r="J62" s="14" t="str">
        <x:v>⁠46282993</x:v>
      </x:c>
    </x:row>
    <x:row r="63">
      <x:c r="A63" s="16" t="n">
        <x:v>62</x:v>
      </x:c>
      <x:c r="B63" s="14" t="str">
        <x:v>derived</x:v>
      </x:c>
      <x:c r="C63" s="14" t="str">
        <x:v>MAX_OPEN_INTEREST</x:v>
      </x:c>
      <x:c r="D63" s="14" t="str">
        <x:v>marketIndex=market#1 · BTC/UNKNOWN, isLong=false</x:v>
      </x:c>
      <x:c r="E63" s="14" t="str">
        <x:v>uint</x:v>
      </x:c>
      <x:c r="F63" s="14" t="str">
        <x:v>⁠40000000000000000000000000000000000000</x:v>
      </x:c>
      <x:c r="G63" s="14" t="str">
        <x:v>⁠0xe4dd33a80e05b5043e657e07e0436b9f7758c1314db8c4915a91f104003244b3</x:v>
      </x:c>
      <x:c r="H63" s="14" t="str">
        <x:v>keccak256(abi.encode(BASE,...args))</x:v>
      </x:c>
      <x:c r="I63" s="14" t="str">
        <x:v>source-scan</x:v>
      </x:c>
      <x:c r="J63" s="14" t="str">
        <x:v>⁠46282993</x:v>
      </x:c>
    </x:row>
    <x:row r="64">
      <x:c r="A64" s="16" t="n">
        <x:v>63</x:v>
      </x:c>
      <x:c r="B64" s="14" t="str">
        <x:v>derived</x:v>
      </x:c>
      <x:c r="C64" s="14" t="str">
        <x:v>MAX_OPEN_INTEREST</x:v>
      </x:c>
      <x:c r="D64" s="14" t="str">
        <x:v>marketIndex=market#2 · WETH/UNKNOWN, isLong=true</x:v>
      </x:c>
      <x:c r="E64" s="14" t="str">
        <x:v>uint</x:v>
      </x:c>
      <x:c r="F64" s="14" t="str">
        <x:v>⁠30000000000000000000000000000000000000</x:v>
      </x:c>
      <x:c r="G64" s="14" t="str">
        <x:v>⁠0x1e629d1f6e71f70480a8a21387387e5a21479532d737e548e06c9e76880edd26</x:v>
      </x:c>
      <x:c r="H64" s="14" t="str">
        <x:v>keccak256(abi.encode(BASE,...args))</x:v>
      </x:c>
      <x:c r="I64" s="14" t="str">
        <x:v>source-scan</x:v>
      </x:c>
      <x:c r="J64" s="14" t="str">
        <x:v>⁠46282993</x:v>
      </x:c>
    </x:row>
    <x:row r="65">
      <x:c r="A65" s="16" t="n">
        <x:v>64</x:v>
      </x:c>
      <x:c r="B65" s="14" t="str">
        <x:v>derived</x:v>
      </x:c>
      <x:c r="C65" s="14" t="str">
        <x:v>MAX_OPEN_INTEREST</x:v>
      </x:c>
      <x:c r="D65" s="14" t="str">
        <x:v>marketIndex=market#2 · WETH/UNKNOWN, isLong=false</x:v>
      </x:c>
      <x:c r="E65" s="14" t="str">
        <x:v>uint</x:v>
      </x:c>
      <x:c r="F65" s="14" t="str">
        <x:v>⁠30000000000000000000000000000000000000</x:v>
      </x:c>
      <x:c r="G65" s="14" t="str">
        <x:v>⁠0xdc64facbcdcd5e9e69be6a0e5ba843724305945e43c790139c06e49c2bb4ed58</x:v>
      </x:c>
      <x:c r="H65" s="14" t="str">
        <x:v>keccak256(abi.encode(BASE,...args))</x:v>
      </x:c>
      <x:c r="I65" s="14" t="str">
        <x:v>source-scan</x:v>
      </x:c>
      <x:c r="J65" s="14" t="str">
        <x:v>⁠46282993</x:v>
      </x:c>
    </x:row>
    <x:row r="66">
      <x:c r="A66" s="16" t="n">
        <x:v>65</x:v>
      </x:c>
      <x:c r="B66" s="14" t="str">
        <x:v>derived</x:v>
      </x:c>
      <x:c r="C66" s="14" t="str">
        <x:v>MAX_OPEN_INTEREST_FACTOR</x:v>
      </x:c>
      <x:c r="D66" s="14" t="str">
        <x:v>marketIndex=market#1 · BTC/UNKNOWN, isLong=true</x:v>
      </x:c>
      <x:c r="E66" s="14" t="str">
        <x:v>uint</x:v>
      </x:c>
      <x:c r="F66" s="14" t="str">
        <x:v>⁠400000000000000000000000000000</x:v>
      </x:c>
      <x:c r="G66" s="14" t="str">
        <x:v>⁠0x66bd6a16e45e7f5617e63cd27d179469e4d045bac9b36dabc3249f995ebe5681</x:v>
      </x:c>
      <x:c r="H66" s="14" t="str">
        <x:v>keccak256(abi.encode(BASE,...args))</x:v>
      </x:c>
      <x:c r="I66" s="14" t="str">
        <x:v>source-scan</x:v>
      </x:c>
      <x:c r="J66" s="14" t="str">
        <x:v>⁠46282993</x:v>
      </x:c>
    </x:row>
    <x:row r="67">
      <x:c r="A67" s="16" t="n">
        <x:v>66</x:v>
      </x:c>
      <x:c r="B67" s="14" t="str">
        <x:v>derived</x:v>
      </x:c>
      <x:c r="C67" s="14" t="str">
        <x:v>MAX_OPEN_INTEREST_FACTOR</x:v>
      </x:c>
      <x:c r="D67" s="14" t="str">
        <x:v>marketIndex=market#1 · BTC/UNKNOWN, isLong=false</x:v>
      </x:c>
      <x:c r="E67" s="14" t="str">
        <x:v>uint</x:v>
      </x:c>
      <x:c r="F67" s="14" t="str">
        <x:v>⁠400000000000000000000000000000</x:v>
      </x:c>
      <x:c r="G67" s="14" t="str">
        <x:v>⁠0x46f4c8af618936b7ba7b20cd97bb3e2b8f57424da248b107b9ef6b803f424b93</x:v>
      </x:c>
      <x:c r="H67" s="14" t="str">
        <x:v>keccak256(abi.encode(BASE,...args))</x:v>
      </x:c>
      <x:c r="I67" s="14" t="str">
        <x:v>source-scan</x:v>
      </x:c>
      <x:c r="J67" s="14" t="str">
        <x:v>⁠46282993</x:v>
      </x:c>
    </x:row>
    <x:row r="68">
      <x:c r="A68" s="16" t="n">
        <x:v>67</x:v>
      </x:c>
      <x:c r="B68" s="14" t="str">
        <x:v>derived</x:v>
      </x:c>
      <x:c r="C68" s="14" t="str">
        <x:v>MAX_OPEN_INTEREST_FACTOR</x:v>
      </x:c>
      <x:c r="D68" s="14" t="str">
        <x:v>marketIndex=market#2 · WETH/UNKNOWN, isLong=true</x:v>
      </x:c>
      <x:c r="E68" s="14" t="str">
        <x:v>uint</x:v>
      </x:c>
      <x:c r="F68" s="14" t="str">
        <x:v>⁠300000000000000000000000000000</x:v>
      </x:c>
      <x:c r="G68" s="14" t="str">
        <x:v>⁠0x2321f7ff56aefffa99b5164dcb5747c545eab86cf8a12b7d307514d935be61b7</x:v>
      </x:c>
      <x:c r="H68" s="14" t="str">
        <x:v>keccak256(abi.encode(BASE,...args))</x:v>
      </x:c>
      <x:c r="I68" s="14" t="str">
        <x:v>source-scan</x:v>
      </x:c>
      <x:c r="J68" s="14" t="str">
        <x:v>⁠46282993</x:v>
      </x:c>
    </x:row>
    <x:row r="69">
      <x:c r="A69" s="16" t="n">
        <x:v>68</x:v>
      </x:c>
      <x:c r="B69" s="14" t="str">
        <x:v>derived</x:v>
      </x:c>
      <x:c r="C69" s="14" t="str">
        <x:v>MAX_OPEN_INTEREST_FACTOR</x:v>
      </x:c>
      <x:c r="D69" s="14" t="str">
        <x:v>marketIndex=market#2 · WETH/UNKNOWN, isLong=false</x:v>
      </x:c>
      <x:c r="E69" s="14" t="str">
        <x:v>uint</x:v>
      </x:c>
      <x:c r="F69" s="14" t="str">
        <x:v>⁠300000000000000000000000000000</x:v>
      </x:c>
      <x:c r="G69" s="14" t="str">
        <x:v>⁠0x0cc25e79b4b6b63d05f55f58994ade6a4a88f815cae4d28ab8b6ba5808b742a0</x:v>
      </x:c>
      <x:c r="H69" s="14" t="str">
        <x:v>keccak256(abi.encode(BASE,...args))</x:v>
      </x:c>
      <x:c r="I69" s="14" t="str">
        <x:v>source-scan</x:v>
      </x:c>
      <x:c r="J69" s="14" t="str">
        <x:v>⁠46282993</x:v>
      </x:c>
    </x:row>
    <x:row r="70">
      <x:c r="A70" s="16" t="n">
        <x:v>69</x:v>
      </x:c>
      <x:c r="B70" s="14" t="str">
        <x:v>derived</x:v>
      </x:c>
      <x:c r="C70" s="14" t="str">
        <x:v>RESERVE_FACTOR</x:v>
      </x:c>
      <x:c r="D70" s="14" t="str">
        <x:v>marketIndex=market#1 · BTC/UNKNOWN</x:v>
      </x:c>
      <x:c r="E70" s="14" t="str">
        <x:v>uint</x:v>
      </x:c>
      <x:c r="F70" s="14" t="str">
        <x:v>⁠400000000000000000000000000000</x:v>
      </x:c>
      <x:c r="G70" s="14" t="str">
        <x:v>⁠0x946f34a3874c32fde246a3f73877d3f803b5142f4c7bf5389ae87805de1ee1ad</x:v>
      </x:c>
      <x:c r="H70" s="14" t="str">
        <x:v>keccak256(abi.encode(BASE,...args))</x:v>
      </x:c>
      <x:c r="I70" s="14" t="str">
        <x:v>source-scan</x:v>
      </x:c>
      <x:c r="J70" s="14" t="str">
        <x:v>⁠46282993</x:v>
      </x:c>
    </x:row>
    <x:row r="71">
      <x:c r="A71" s="16" t="n">
        <x:v>70</x:v>
      </x:c>
      <x:c r="B71" s="14" t="str">
        <x:v>derived</x:v>
      </x:c>
      <x:c r="C71" s="14" t="str">
        <x:v>RESERVE_FACTOR</x:v>
      </x:c>
      <x:c r="D71" s="14" t="str">
        <x:v>marketIndex=market#2 · WETH/UNKNOWN</x:v>
      </x:c>
      <x:c r="E71" s="14" t="str">
        <x:v>uint</x:v>
      </x:c>
      <x:c r="F71" s="14" t="str">
        <x:v>⁠300000000000000000000000000000</x:v>
      </x:c>
      <x:c r="G71" s="14" t="str">
        <x:v>⁠0x11ba2f80af6fc8369e26cdcf0d7536ae4cb98a42a73b0837235aa5a6479eebea</x:v>
      </x:c>
      <x:c r="H71" s="14" t="str">
        <x:v>keccak256(abi.encode(BASE,...args))</x:v>
      </x:c>
      <x:c r="I71" s="14" t="str">
        <x:v>source-scan</x:v>
      </x:c>
      <x:c r="J71" s="14" t="str">
        <x:v>⁠46282993</x:v>
      </x:c>
    </x:row>
    <x:row r="72">
      <x:c r="A72" s="16" t="n">
        <x:v>71</x:v>
      </x:c>
      <x:c r="B72" s="14" t="str">
        <x:v>derived</x:v>
      </x:c>
      <x:c r="C72" s="14" t="str">
        <x:v>MAX_PNL_FACTOR</x:v>
      </x:c>
      <x:c r="D72" s="14" t="str">
        <x:v>pnlFactorType=MAX_PNL_FACTOR_FOR_TRADERS, marketIndex=market#1 · BTC/UNKNOWN, isLong=true</x:v>
      </x:c>
      <x:c r="E72" s="14" t="str">
        <x:v>uint</x:v>
      </x:c>
      <x:c r="F72" s="14" t="str">
        <x:v>⁠1000000000000000000000000000000</x:v>
      </x:c>
      <x:c r="G72" s="14" t="str">
        <x:v>⁠0x385b0c843e1e7ae88700fe89c6cd0f6a1006c11c18ffea5706856b8f1a9923a4</x:v>
      </x:c>
      <x:c r="H72" s="14" t="str">
        <x:v>keccak256(abi.encode(BASE,...args))</x:v>
      </x:c>
      <x:c r="I72" s="14" t="str">
        <x:v>source-scan</x:v>
      </x:c>
      <x:c r="J72" s="14" t="str">
        <x:v>⁠46282993</x:v>
      </x:c>
    </x:row>
    <x:row r="73">
      <x:c r="A73" s="16" t="n">
        <x:v>72</x:v>
      </x:c>
      <x:c r="B73" s="14" t="str">
        <x:v>derived</x:v>
      </x:c>
      <x:c r="C73" s="14" t="str">
        <x:v>MAX_PNL_FACTOR</x:v>
      </x:c>
      <x:c r="D73" s="14" t="str">
        <x:v>pnlFactorType=MAX_PNL_FACTOR_FOR_TRADERS, marketIndex=market#1 · BTC/UNKNOWN, isLong=false</x:v>
      </x:c>
      <x:c r="E73" s="14" t="str">
        <x:v>uint</x:v>
      </x:c>
      <x:c r="F73" s="14" t="str">
        <x:v>⁠1000000000000000000000000000000</x:v>
      </x:c>
      <x:c r="G73" s="14" t="str">
        <x:v>⁠0x92c04102d0fc77de299cea7c4473cec80e134280034505225e0f1cb61bd0dccb</x:v>
      </x:c>
      <x:c r="H73" s="14" t="str">
        <x:v>keccak256(abi.encode(BASE,...args))</x:v>
      </x:c>
      <x:c r="I73" s="14" t="str">
        <x:v>source-scan</x:v>
      </x:c>
      <x:c r="J73" s="14" t="str">
        <x:v>⁠46282993</x:v>
      </x:c>
    </x:row>
    <x:row r="74">
      <x:c r="A74" s="16" t="n">
        <x:v>73</x:v>
      </x:c>
      <x:c r="B74" s="14" t="str">
        <x:v>derived</x:v>
      </x:c>
      <x:c r="C74" s="14" t="str">
        <x:v>MAX_PNL_FACTOR</x:v>
      </x:c>
      <x:c r="D74" s="14" t="str">
        <x:v>pnlFactorType=MAX_PNL_FACTOR_FOR_TRADERS, marketIndex=market#2 · WETH/UNKNOWN, isLong=true</x:v>
      </x:c>
      <x:c r="E74" s="14" t="str">
        <x:v>uint</x:v>
      </x:c>
      <x:c r="F74" s="14" t="str">
        <x:v>⁠1000000000000000000000000000000</x:v>
      </x:c>
      <x:c r="G74" s="14" t="str">
        <x:v>⁠0xca6d3af7d550ebdd0f0eb951ac5368e280f7868533c68f1ce7e3e3550da8a1e6</x:v>
      </x:c>
      <x:c r="H74" s="14" t="str">
        <x:v>keccak256(abi.encode(BASE,...args))</x:v>
      </x:c>
      <x:c r="I74" s="14" t="str">
        <x:v>source-scan</x:v>
      </x:c>
      <x:c r="J74" s="14" t="str">
        <x:v>⁠46282993</x:v>
      </x:c>
    </x:row>
    <x:row r="75">
      <x:c r="A75" s="16" t="n">
        <x:v>74</x:v>
      </x:c>
      <x:c r="B75" s="14" t="str">
        <x:v>derived</x:v>
      </x:c>
      <x:c r="C75" s="14" t="str">
        <x:v>MAX_PNL_FACTOR</x:v>
      </x:c>
      <x:c r="D75" s="14" t="str">
        <x:v>pnlFactorType=MAX_PNL_FACTOR_FOR_TRADERS, marketIndex=market#2 · WETH/UNKNOWN, isLong=false</x:v>
      </x:c>
      <x:c r="E75" s="14" t="str">
        <x:v>uint</x:v>
      </x:c>
      <x:c r="F75" s="14" t="str">
        <x:v>⁠1000000000000000000000000000000</x:v>
      </x:c>
      <x:c r="G75" s="14" t="str">
        <x:v>⁠0x76b3749f226ba3136c2e6520abe309a550d32e2a83112b88f5389a0861f13f07</x:v>
      </x:c>
      <x:c r="H75" s="14" t="str">
        <x:v>keccak256(abi.encode(BASE,...args))</x:v>
      </x:c>
      <x:c r="I75" s="14" t="str">
        <x:v>source-scan</x:v>
      </x:c>
      <x:c r="J75" s="14" t="str">
        <x:v>⁠46282993</x:v>
      </x:c>
    </x:row>
    <x:row r="76">
      <x:c r="A76" s="16" t="n">
        <x:v>75</x:v>
      </x:c>
      <x:c r="B76" s="14" t="str">
        <x:v>derived</x:v>
      </x:c>
      <x:c r="C76" s="14" t="str">
        <x:v>FUNDING_FLOOR_FACTOR</x:v>
      </x:c>
      <x:c r="D76" s="14" t="str">
        <x:v>marketIndex=market#1 · BTC/UNKNOWN</x:v>
      </x:c>
      <x:c r="E76" s="14" t="str">
        <x:v>int</x:v>
      </x:c>
      <x:c r="F76" s="14" t="str">
        <x:v>⁠3472222222222222222222</x:v>
      </x:c>
      <x:c r="G76" s="14" t="str">
        <x:v>⁠0x18097692f9c9bbeafee0fd219f4272fab6c333cfa75f5121d43fb53469b76d1d</x:v>
      </x:c>
      <x:c r="H76" s="14" t="str">
        <x:v>keccak256(abi.encode(BASE,...args))</x:v>
      </x:c>
      <x:c r="I76" s="14" t="str">
        <x:v>source-scan</x:v>
      </x:c>
      <x:c r="J76" s="14" t="str">
        <x:v>⁠46282993</x:v>
      </x:c>
    </x:row>
    <x:row r="77">
      <x:c r="A77" s="16" t="n">
        <x:v>76</x:v>
      </x:c>
      <x:c r="B77" s="14" t="str">
        <x:v>derived</x:v>
      </x:c>
      <x:c r="C77" s="14" t="str">
        <x:v>FUNDING_FLOOR_FACTOR</x:v>
      </x:c>
      <x:c r="D77" s="14" t="str">
        <x:v>marketIndex=market#2 · WETH/UNKNOWN</x:v>
      </x:c>
      <x:c r="E77" s="14" t="str">
        <x:v>int</x:v>
      </x:c>
      <x:c r="F77" s="14" t="str">
        <x:v>⁠3472222222222222222222</x:v>
      </x:c>
      <x:c r="G77" s="14" t="str">
        <x:v>⁠0xa4500dd8681ac4cddcd0d593ea38fb7433c5a23ad5f5d70154b42ad9c2109c97</x:v>
      </x:c>
      <x:c r="H77" s="14" t="str">
        <x:v>keccak256(abi.encode(BASE,...args))</x:v>
      </x:c>
      <x:c r="I77" s="14" t="str">
        <x:v>source-scan</x:v>
      </x:c>
      <x:c r="J77" s="14" t="str">
        <x:v>⁠46282993</x:v>
      </x:c>
    </x:row>
    <x:row r="78">
      <x:c r="A78" s="16" t="n">
        <x:v>77</x:v>
      </x:c>
      <x:c r="B78" s="14" t="str">
        <x:v>derived</x:v>
      </x:c>
      <x:c r="C78" s="14" t="str">
        <x:v>FUNDING_BASE_FACTOR</x:v>
      </x:c>
      <x:c r="D78" s="14" t="str">
        <x:v>marketIndex=market#1 · BTC/UNKNOWN</x:v>
      </x:c>
      <x:c r="E78" s="14" t="str">
        <x:v>int</x:v>
      </x:c>
      <x:c r="F78" s="14" t="str">
        <x:v>⁠42672606957128361237950</x:v>
      </x:c>
      <x:c r="G78" s="14" t="str">
        <x:v>⁠0xa761d456614f2bb395dfd3ec19a8816a7db37fadeeab52cbb5921fb96d899442</x:v>
      </x:c>
      <x:c r="H78" s="14" t="str">
        <x:v>keccak256(abi.encode(BASE,...args))</x:v>
      </x:c>
      <x:c r="I78" s="14" t="str">
        <x:v>source-scan</x:v>
      </x:c>
      <x:c r="J78" s="14" t="str">
        <x:v>⁠46282993</x:v>
      </x:c>
    </x:row>
    <x:row r="79">
      <x:c r="A79" s="16" t="n">
        <x:v>78</x:v>
      </x:c>
      <x:c r="B79" s="14" t="str">
        <x:v>derived</x:v>
      </x:c>
      <x:c r="C79" s="14" t="str">
        <x:v>FUNDING_BASE_FACTOR</x:v>
      </x:c>
      <x:c r="D79" s="14" t="str">
        <x:v>marketIndex=market#2 · WETH/UNKNOWN</x:v>
      </x:c>
      <x:c r="E79" s="14" t="str">
        <x:v>int</x:v>
      </x:c>
      <x:c r="F79" s="14" t="str">
        <x:v>⁠45278306284880771182141</x:v>
      </x:c>
      <x:c r="G79" s="14" t="str">
        <x:v>⁠0x20ca7748986aa11dd2eebf0e1215278fb15c43c8996b9280fd773d7b351a38ac</x:v>
      </x:c>
      <x:c r="H79" s="14" t="str">
        <x:v>keccak256(abi.encode(BASE,...args))</x:v>
      </x:c>
      <x:c r="I79" s="14" t="str">
        <x:v>source-scan</x:v>
      </x:c>
      <x:c r="J79" s="14" t="str">
        <x:v>⁠46282993</x:v>
      </x:c>
    </x:row>
    <x:row r="80">
      <x:c r="A80" s="16" t="n">
        <x:v>79</x:v>
      </x:c>
      <x:c r="B80" s="14" t="str">
        <x:v>derived</x:v>
      </x:c>
      <x:c r="C80" s="14" t="str">
        <x:v>MIN_FUNDING_FACTOR_PER_SECOND</x:v>
      </x:c>
      <x:c r="D80" s="14" t="str">
        <x:v>marketIndex=market#1 · BTC/UNKNOWN</x:v>
      </x:c>
      <x:c r="E80" s="14" t="str">
        <x:v>int</x:v>
      </x:c>
      <x:c r="F80" s="14" t="str">
        <x:v>⁠-4247209538305428716387</x:v>
      </x:c>
      <x:c r="G80" s="14" t="str">
        <x:v>⁠0x73bb015d21f0256ad12a0f1036b9a1e4779d7578b516da59b7d73cd36649a311</x:v>
      </x:c>
      <x:c r="H80" s="14" t="str">
        <x:v>keccak256(abi.encode(BASE,...args))</x:v>
      </x:c>
      <x:c r="I80" s="14" t="str">
        <x:v>source-scan</x:v>
      </x:c>
      <x:c r="J80" s="14" t="str">
        <x:v>⁠46282993</x:v>
      </x:c>
    </x:row>
    <x:row r="81">
      <x:c r="A81" s="16" t="n">
        <x:v>80</x:v>
      </x:c>
      <x:c r="B81" s="14" t="str">
        <x:v>derived</x:v>
      </x:c>
      <x:c r="C81" s="14" t="str">
        <x:v>MIN_FUNDING_FACTOR_PER_SECOND</x:v>
      </x:c>
      <x:c r="D81" s="14" t="str">
        <x:v>marketIndex=market#2 · WETH/UNKNOWN</x:v>
      </x:c>
      <x:c r="E81" s="14" t="str">
        <x:v>int</x:v>
      </x:c>
      <x:c r="F81" s="14" t="str">
        <x:v>⁠-8722571029934043632673</x:v>
      </x:c>
      <x:c r="G81" s="14" t="str">
        <x:v>⁠0x2f706374c75039cbb89530d469c3b80cbb37e58ef700897fed51ee53f6630318</x:v>
      </x:c>
      <x:c r="H81" s="14" t="str">
        <x:v>keccak256(abi.encode(BASE,...args))</x:v>
      </x:c>
      <x:c r="I81" s="14" t="str">
        <x:v>source-scan</x:v>
      </x:c>
      <x:c r="J81" s="14" t="str">
        <x:v>⁠46282993</x:v>
      </x:c>
    </x:row>
    <x:row r="82">
      <x:c r="A82" s="16" t="n">
        <x:v>81</x:v>
      </x:c>
      <x:c r="B82" s="14" t="str">
        <x:v>derived</x:v>
      </x:c>
      <x:c r="C82" s="14" t="str">
        <x:v>MAX_FUNDING_FACTOR_PER_SECOND</x:v>
      </x:c>
      <x:c r="D82" s="14" t="str">
        <x:v>marketIndex=market#1 · BTC/UNKNOWN</x:v>
      </x:c>
      <x:c r="E82" s="14" t="str">
        <x:v>int</x:v>
      </x:c>
      <x:c r="F82" s="14" t="str">
        <x:v>⁠30606957128361237950279</x:v>
      </x:c>
      <x:c r="G82" s="14" t="str">
        <x:v>⁠0xcc480b24d876582be041d06ac89e787d051ddc560967da02168b778a175d1284</x:v>
      </x:c>
      <x:c r="H82" s="14" t="str">
        <x:v>keccak256(abi.encode(BASE,...args))</x:v>
      </x:c>
      <x:c r="I82" s="14" t="str">
        <x:v>source-scan</x:v>
      </x:c>
      <x:c r="J82" s="14" t="str">
        <x:v>⁠46282993</x:v>
      </x:c>
    </x:row>
    <x:row r="83">
      <x:c r="A83" s="16" t="n">
        <x:v>82</x:v>
      </x:c>
      <x:c r="B83" s="14" t="str">
        <x:v>derived</x:v>
      </x:c>
      <x:c r="C83" s="14" t="str">
        <x:v>MAX_FUNDING_FACTOR_PER_SECOND</x:v>
      </x:c>
      <x:c r="D83" s="14" t="str">
        <x:v>marketIndex=market#2 · WETH/UNKNOWN</x:v>
      </x:c>
      <x:c r="E83" s="14" t="str">
        <x:v>int</x:v>
      </x:c>
      <x:c r="F83" s="14" t="str">
        <x:v>⁠35320839675291730086250</x:v>
      </x:c>
      <x:c r="G83" s="14" t="str">
        <x:v>⁠0xd7407d9dc729453456e7042aef02a2faf3e85ed0af264ed9b0df1a6d817d1511</x:v>
      </x:c>
      <x:c r="H83" s="14" t="str">
        <x:v>keccak256(abi.encode(BASE,...args))</x:v>
      </x:c>
      <x:c r="I83" s="14" t="str">
        <x:v>source-scan</x:v>
      </x:c>
      <x:c r="J83" s="14" t="str">
        <x:v>⁠46282993</x:v>
      </x:c>
    </x:row>
    <x:row r="84">
      <x:c r="A84" s="16" t="n">
        <x:v>83</x:v>
      </x:c>
      <x:c r="B84" s="14" t="str">
        <x:v>derived</x:v>
      </x:c>
      <x:c r="C84" s="14" t="str">
        <x:v>IS_ORACLE_PROVIDER_ENABLED</x:v>
      </x:c>
      <x:c r="D84" s="14" t="str">
        <x:v>provider=ChainlinkPriceFeedProvider</x:v>
      </x:c>
      <x:c r="E84" s="14" t="str">
        <x:v>bool</x:v>
      </x:c>
      <x:c r="F84" s="14" t="str">
        <x:v>true</x:v>
      </x:c>
      <x:c r="G84" s="14" t="str">
        <x:v>⁠0xa6620fc13e7ef783ed637979dc014ff19e5a27dc0e7dd05168eba37ee3e01364</x:v>
      </x:c>
      <x:c r="H84" s="14" t="str">
        <x:v>keccak256(abi.encode(BASE,...args))</x:v>
      </x:c>
      <x:c r="I84" s="14" t="str">
        <x:v>source-scan</x:v>
      </x:c>
      <x:c r="J84" s="14" t="str">
        <x:v>⁠46282993</x:v>
      </x:c>
    </x:row>
    <x:row r="85">
      <x:c r="A85" s="16" t="n">
        <x:v>84</x:v>
      </x:c>
      <x:c r="B85" s="14" t="str">
        <x:v>derived</x:v>
      </x:c>
      <x:c r="C85" s="14" t="str">
        <x:v>IS_ORACLE_PROVIDER_ENABLED</x:v>
      </x:c>
      <x:c r="D85" s="14" t="str">
        <x:v>provider=ChainlinkDataStreamProvider</x:v>
      </x:c>
      <x:c r="E85" s="14" t="str">
        <x:v>bool</x:v>
      </x:c>
      <x:c r="F85" s="14" t="str">
        <x:v>true</x:v>
      </x:c>
      <x:c r="G85" s="14" t="str">
        <x:v>⁠0x0e57fabbbb48e55b21f786117762ae420b1f16a9245fa0276a819c39cf2b1bf0</x:v>
      </x:c>
      <x:c r="H85" s="14" t="str">
        <x:v>keccak256(abi.encode(BASE,...args))</x:v>
      </x:c>
      <x:c r="I85" s="14" t="str">
        <x:v>source-scan</x:v>
      </x:c>
      <x:c r="J85" s="14" t="str">
        <x:v>⁠46282993</x:v>
      </x:c>
    </x:row>
    <x:row r="86">
      <x:c r="A86" s="16" t="n">
        <x:v>85</x:v>
      </x:c>
      <x:c r="B86" s="14" t="str">
        <x:v>derived</x:v>
      </x:c>
      <x:c r="C86" s="14" t="str">
        <x:v>ORACLE_PROVIDER_FOR_TOKEN</x:v>
      </x:c>
      <x:c r="D86" s="14" t="str">
        <x:v>oracle=Oracle, token=BTC / market#1 indexToken</x:v>
      </x:c>
      <x:c r="E86" s="14" t="str">
        <x:v>address</x:v>
      </x:c>
      <x:c r="F86" s="14" t="str">
        <x:v>⁠0x7ae5fdb923d25840fb4cee822c3d800a48ef6e90</x:v>
      </x:c>
      <x:c r="G86" s="14" t="str">
        <x:v>⁠0x601d1e789fbc520702a6203f4d46c61e3f208e19a9ab8e8b66f28858c4d0a5ea</x:v>
      </x:c>
      <x:c r="H86" s="14" t="str">
        <x:v>keccak256(abi.encode(BASE,...args))</x:v>
      </x:c>
      <x:c r="I86" s="14" t="str">
        <x:v>source-scan</x:v>
      </x:c>
      <x:c r="J86" s="14" t="str">
        <x:v>⁠46282993</x:v>
      </x:c>
    </x:row>
    <x:row r="87">
      <x:c r="A87" s="16" t="n">
        <x:v>86</x:v>
      </x:c>
      <x:c r="B87" s="14" t="str">
        <x:v>derived</x:v>
      </x:c>
      <x:c r="C87" s="14" t="str">
        <x:v>ORACLE_PROVIDER_FOR_TOKEN</x:v>
      </x:c>
      <x:c r="D87" s="14" t="str">
        <x:v>oracle=Oracle, token=WETH / market#2 indexToken / WNT (Base WETH)</x:v>
      </x:c>
      <x:c r="E87" s="14" t="str">
        <x:v>address</x:v>
      </x:c>
      <x:c r="F87" s="14" t="str">
        <x:v>⁠0x7ae5fdb923d25840fb4cee822c3d800a48ef6e90</x:v>
      </x:c>
      <x:c r="G87" s="14" t="str">
        <x:v>⁠0xdc4976c2f6831a9ff27cb8834bcaad96a4f60f413993ae71c8c40264dac43cfd</x:v>
      </x:c>
      <x:c r="H87" s="14" t="str">
        <x:v>keccak256(abi.encode(BASE,...args))</x:v>
      </x:c>
      <x:c r="I87" s="14" t="str">
        <x:v>source-scan</x:v>
      </x:c>
      <x:c r="J87" s="14" t="str">
        <x:v>⁠46282993</x:v>
      </x:c>
    </x:row>
    <x:row r="88">
      <x:c r="A88" s="16" t="n">
        <x:v>87</x:v>
      </x:c>
      <x:c r="B88" s="14" t="str">
        <x:v>derived</x:v>
      </x:c>
      <x:c r="C88" s="14" t="str">
        <x:v>ORACLE_PROVIDER_FOR_TOKEN</x:v>
      </x:c>
      <x:c r="D88" s="14" t="str">
        <x:v>oracle=Oracle, token=USDC / MockUSDC</x:v>
      </x:c>
      <x:c r="E88" s="14" t="str">
        <x:v>address</x:v>
      </x:c>
      <x:c r="F88" s="14" t="str">
        <x:v>⁠0x7ae5fdb923d25840fb4cee822c3d800a48ef6e90</x:v>
      </x:c>
      <x:c r="G88" s="14" t="str">
        <x:v>⁠0x505060f979d163d1737f0cd9294ee10143674df5c10bfe22a757d011fa43291f</x:v>
      </x:c>
      <x:c r="H88" s="14" t="str">
        <x:v>keccak256(abi.encode(BASE,...args))</x:v>
      </x:c>
      <x:c r="I88" s="14" t="str">
        <x:v>source-scan</x:v>
      </x:c>
      <x:c r="J88" s="14" t="str">
        <x:v>⁠46282993</x:v>
      </x:c>
    </x:row>
    <x:row r="89">
      <x:c r="A89" s="16" t="n">
        <x:v>88</x:v>
      </x:c>
      <x:c r="B89" s="14" t="str">
        <x:v>derived</x:v>
      </x:c>
      <x:c r="C89" s="14" t="str">
        <x:v>ORACLE_PROVIDER_FOR_TOKEN</x:v>
      </x:c>
      <x:c r="D89" s="14" t="str">
        <x:v>token=USDC / MockUSDC</x:v>
      </x:c>
      <x:c r="E89" s="14" t="str">
        <x:v>address</x:v>
      </x:c>
      <x:c r="F89" s="14" t="str">
        <x:v>⁠0x7ae5fdb923d25840fb4cee822c3d800a48ef6e90</x:v>
      </x:c>
      <x:c r="G89" s="14" t="str">
        <x:v>⁠0x9168b06d92e7ced47f9558612b6d689284e61d4dc5f5158f736ebfdf2957f5a4</x:v>
      </x:c>
      <x:c r="H89" s="14" t="str">
        <x:v>keccak256(abi.encode(BASE,...args))</x:v>
      </x:c>
      <x:c r="I89" s="14" t="str">
        <x:v>source-scan</x:v>
      </x:c>
      <x:c r="J89" s="14" t="str">
        <x:v>⁠46282993</x:v>
      </x:c>
    </x:row>
    <x:row r="90">
      <x:c r="A90" s="16" t="n">
        <x:v>89</x:v>
      </x:c>
      <x:c r="B90" s="14" t="str">
        <x:v>derived</x:v>
      </x:c>
      <x:c r="C90" s="14" t="str">
        <x:v>ORACLE_PROVIDER_UPDATED_AT</x:v>
      </x:c>
      <x:c r="D90" s="14" t="str">
        <x:v>token=USDC / MockUSDC, provider=ChainlinkPriceFeedProvider</x:v>
      </x:c>
      <x:c r="E90" s="14" t="str">
        <x:v>uint</x:v>
      </x:c>
      <x:c r="F90" s="14" t="str">
        <x:v>⁠1788334905</x:v>
      </x:c>
      <x:c r="G90" s="14" t="str">
        <x:v>⁠0x60a46143b73efd90af7a6f9d7a45b689b9890c2abb317ceb4f43e0d0a04a106b</x:v>
      </x:c>
      <x:c r="H90" s="14" t="str">
        <x:v>keccak256(abi.encode(BASE,...args))</x:v>
      </x:c>
      <x:c r="I90" s="14" t="str">
        <x:v>source-scan</x:v>
      </x:c>
      <x:c r="J90" s="14" t="str">
        <x:v>⁠46282993</x:v>
      </x:c>
    </x:row>
    <x:row r="91">
      <x:c r="A91" s="16" t="n">
        <x:v>90</x:v>
      </x:c>
      <x:c r="B91" s="14" t="str">
        <x:v>derived</x:v>
      </x:c>
      <x:c r="C91" s="14" t="str">
        <x:v>TOKEN_TRANSFER_GAS_LIMIT</x:v>
      </x:c>
      <x:c r="D91" s="14" t="str">
        <x:v>token=BTC / market#1 indexToken</x:v>
      </x:c>
      <x:c r="E91" s="14" t="str">
        <x:v>uint</x:v>
      </x:c>
      <x:c r="F91" s="14" t="str">
        <x:v>⁠200000</x:v>
      </x:c>
      <x:c r="G91" s="14" t="str">
        <x:v>⁠0x35d69f4065796b8b32a972ce48b0bd50c093c99e6453694fc6da6806a729b388</x:v>
      </x:c>
      <x:c r="H91" s="14" t="str">
        <x:v>keccak256(abi.encode(BASE,...args))</x:v>
      </x:c>
      <x:c r="I91" s="14" t="str">
        <x:v>source-scan</x:v>
      </x:c>
      <x:c r="J91" s="14" t="str">
        <x:v>⁠46282993</x:v>
      </x:c>
    </x:row>
    <x:row r="92">
      <x:c r="A92" s="16" t="n">
        <x:v>91</x:v>
      </x:c>
      <x:c r="B92" s="14" t="str">
        <x:v>derived</x:v>
      </x:c>
      <x:c r="C92" s="14" t="str">
        <x:v>TOKEN_TRANSFER_GAS_LIMIT</x:v>
      </x:c>
      <x:c r="D92" s="14" t="str">
        <x:v>token=WETH / market#2 indexToken / WNT (Base WETH)</x:v>
      </x:c>
      <x:c r="E92" s="14" t="str">
        <x:v>uint</x:v>
      </x:c>
      <x:c r="F92" s="14" t="str">
        <x:v>⁠200000</x:v>
      </x:c>
      <x:c r="G92" s="14" t="str">
        <x:v>⁠0x7ce501baf08e3ca98da176498d6b4caab49457a4bc6153635b6a2fb97feba82e</x:v>
      </x:c>
      <x:c r="H92" s="14" t="str">
        <x:v>keccak256(abi.encode(BASE,...args))</x:v>
      </x:c>
      <x:c r="I92" s="14" t="str">
        <x:v>source-scan</x:v>
      </x:c>
      <x:c r="J92" s="14" t="str">
        <x:v>⁠46282993</x:v>
      </x:c>
    </x:row>
    <x:row r="93">
      <x:c r="A93" s="16" t="n">
        <x:v>92</x:v>
      </x:c>
      <x:c r="B93" s="14" t="str">
        <x:v>derived</x:v>
      </x:c>
      <x:c r="C93" s="14" t="str">
        <x:v>TOKEN_TRANSFER_GAS_LIMIT</x:v>
      </x:c>
      <x:c r="D93" s="14" t="str">
        <x:v>token=USDC / MockUSDC</x:v>
      </x:c>
      <x:c r="E93" s="14" t="str">
        <x:v>uint</x:v>
      </x:c>
      <x:c r="F93" s="14" t="str">
        <x:v>⁠200000</x:v>
      </x:c>
      <x:c r="G93" s="14" t="str">
        <x:v>⁠0xfd3987b65eb16b3e939e18714915ca33b56ed0da35cb31369dcca04058ecf9b3</x:v>
      </x:c>
      <x:c r="H93" s="14" t="str">
        <x:v>keccak256(abi.encode(BASE,...args))</x:v>
      </x:c>
      <x:c r="I93" s="14" t="str">
        <x:v>source-scan</x:v>
      </x:c>
      <x:c r="J93" s="14" t="str">
        <x:v>⁠46282993</x:v>
      </x:c>
    </x:row>
    <x:row r="94">
      <x:c r="A94" s="16" t="n">
        <x:v>93</x:v>
      </x:c>
      <x:c r="B94" s="14" t="str">
        <x:v>derived</x:v>
      </x:c>
      <x:c r="C94" s="14" t="str">
        <x:v>MIN_COLLATERAL_FACTOR</x:v>
      </x:c>
      <x:c r="D94" s="14" t="str">
        <x:v>marketIndex=market#1 · BTC/UNKNOWN</x:v>
      </x:c>
      <x:c r="E94" s="14" t="str">
        <x:v>uint</x:v>
      </x:c>
      <x:c r="F94" s="14" t="str">
        <x:v>⁠10000000000000000000000000000</x:v>
      </x:c>
      <x:c r="G94" s="14" t="str">
        <x:v>⁠0x8966886f66575200fa28e101688c682fe23468efbdd440ada3e98ef7cb82c13c</x:v>
      </x:c>
      <x:c r="H94" s="14" t="str">
        <x:v>keccak256(abi.encode(BASE,...args))</x:v>
      </x:c>
      <x:c r="I94" s="14" t="str">
        <x:v>source-scan</x:v>
      </x:c>
      <x:c r="J94" s="14" t="str">
        <x:v>⁠46282993</x:v>
      </x:c>
    </x:row>
    <x:row r="95">
      <x:c r="A95" s="16" t="n">
        <x:v>94</x:v>
      </x:c>
      <x:c r="B95" s="14" t="str">
        <x:v>derived</x:v>
      </x:c>
      <x:c r="C95" s="14" t="str">
        <x:v>MIN_COLLATERAL_FACTOR</x:v>
      </x:c>
      <x:c r="D95" s="14" t="str">
        <x:v>marketIndex=market#2 · WETH/UNKNOWN</x:v>
      </x:c>
      <x:c r="E95" s="14" t="str">
        <x:v>uint</x:v>
      </x:c>
      <x:c r="F95" s="14" t="str">
        <x:v>⁠10000000000000000000000000000</x:v>
      </x:c>
      <x:c r="G95" s="14" t="str">
        <x:v>⁠0xed70c54a9a7199bafb7819f35551d9112965dc01fa6d16ffe43cc66f442a4227</x:v>
      </x:c>
      <x:c r="H95" s="14" t="str">
        <x:v>keccak256(abi.encode(BASE,...args))</x:v>
      </x:c>
      <x:c r="I95" s="14" t="str">
        <x:v>source-scan</x:v>
      </x:c>
      <x:c r="J95" s="14" t="str">
        <x:v>⁠46282993</x:v>
      </x:c>
    </x:row>
    <x:row r="96">
      <x:c r="A96" s="16" t="n">
        <x:v>95</x:v>
      </x:c>
      <x:c r="B96" s="14" t="str">
        <x:v>derived</x:v>
      </x:c>
      <x:c r="C96" s="14" t="str">
        <x:v>MIN_COLLATERAL_FACTOR_FOR_LIQUIDATION</x:v>
      </x:c>
      <x:c r="D96" s="14" t="str">
        <x:v>marketIndex=market#1 · BTC/UNKNOWN</x:v>
      </x:c>
      <x:c r="E96" s="14" t="str">
        <x:v>uint</x:v>
      </x:c>
      <x:c r="F96" s="14" t="str">
        <x:v>⁠4000000000000000000000000000</x:v>
      </x:c>
      <x:c r="G96" s="14" t="str">
        <x:v>⁠0x768837104c38974383d75141f090b8a573bc06836f8ee11018b402796ca8cba8</x:v>
      </x:c>
      <x:c r="H96" s="14" t="str">
        <x:v>keccak256(abi.encode(BASE,...args))</x:v>
      </x:c>
      <x:c r="I96" s="14" t="str">
        <x:v>source-scan</x:v>
      </x:c>
      <x:c r="J96" s="14" t="str">
        <x:v>⁠46282993</x:v>
      </x:c>
    </x:row>
    <x:row r="97">
      <x:c r="A97" s="16" t="n">
        <x:v>96</x:v>
      </x:c>
      <x:c r="B97" s="14" t="str">
        <x:v>derived</x:v>
      </x:c>
      <x:c r="C97" s="14" t="str">
        <x:v>MIN_COLLATERAL_FACTOR_FOR_LIQUIDATION</x:v>
      </x:c>
      <x:c r="D97" s="14" t="str">
        <x:v>marketIndex=market#2 · WETH/UNKNOWN</x:v>
      </x:c>
      <x:c r="E97" s="14" t="str">
        <x:v>uint</x:v>
      </x:c>
      <x:c r="F97" s="14" t="str">
        <x:v>⁠5000000000000000000000000000</x:v>
      </x:c>
      <x:c r="G97" s="14" t="str">
        <x:v>⁠0x0459447b8ed5de126a8446e92f772c0c6932df85cf27ef35ad99a8d67b86ce75</x:v>
      </x:c>
      <x:c r="H97" s="14" t="str">
        <x:v>keccak256(abi.encode(BASE,...args))</x:v>
      </x:c>
      <x:c r="I97" s="14" t="str">
        <x:v>source-scan</x:v>
      </x:c>
      <x:c r="J97" s="14" t="str">
        <x:v>⁠46282993</x:v>
      </x:c>
    </x:row>
    <x:row r="98">
      <x:c r="A98" s="16" t="n">
        <x:v>97</x:v>
      </x:c>
      <x:c r="B98" s="14" t="str">
        <x:v>derived</x:v>
      </x:c>
      <x:c r="C98" s="14" t="str">
        <x:v>MAX_POSITION_IMPACT_FACTOR</x:v>
      </x:c>
      <x:c r="D98" s="14" t="str">
        <x:v>marketIndex=market#1 · BTC/UNKNOWN, isPositive=true</x:v>
      </x:c>
      <x:c r="E98" s="14" t="str">
        <x:v>uint</x:v>
      </x:c>
      <x:c r="F98" s="14" t="str">
        <x:v>⁠1000000000000000000000000000000</x:v>
      </x:c>
      <x:c r="G98" s="14" t="str">
        <x:v>⁠0xa2b45d652d4e30545154ffe8e1eb3e79459b33d32f5b38ac694de51d534b6ec5</x:v>
      </x:c>
      <x:c r="H98" s="14" t="str">
        <x:v>keccak256(abi.encode(BASE,...args))</x:v>
      </x:c>
      <x:c r="I98" s="14" t="str">
        <x:v>source-scan</x:v>
      </x:c>
      <x:c r="J98" s="14" t="str">
        <x:v>⁠46282993</x:v>
      </x:c>
    </x:row>
    <x:row r="99">
      <x:c r="A99" s="16" t="n">
        <x:v>98</x:v>
      </x:c>
      <x:c r="B99" s="14" t="str">
        <x:v>derived</x:v>
      </x:c>
      <x:c r="C99" s="14" t="str">
        <x:v>MAX_POSITION_IMPACT_FACTOR</x:v>
      </x:c>
      <x:c r="D99" s="14" t="str">
        <x:v>marketIndex=market#1 · BTC/UNKNOWN, isPositive=false</x:v>
      </x:c>
      <x:c r="E99" s="14" t="str">
        <x:v>uint</x:v>
      </x:c>
      <x:c r="F99" s="14" t="str">
        <x:v>⁠1000000000000000000000000000000</x:v>
      </x:c>
      <x:c r="G99" s="14" t="str">
        <x:v>⁠0x59ff2cdfba82c61ef1b80a81985d7fde6697184ef8f4db5c2c28010ab735bec5</x:v>
      </x:c>
      <x:c r="H99" s="14" t="str">
        <x:v>keccak256(abi.encode(BASE,...args))</x:v>
      </x:c>
      <x:c r="I99" s="14" t="str">
        <x:v>source-scan</x:v>
      </x:c>
      <x:c r="J99" s="14" t="str">
        <x:v>⁠46282993</x:v>
      </x:c>
    </x:row>
    <x:row r="100">
      <x:c r="A100" s="16" t="n">
        <x:v>99</x:v>
      </x:c>
      <x:c r="B100" s="14" t="str">
        <x:v>derived</x:v>
      </x:c>
      <x:c r="C100" s="14" t="str">
        <x:v>MAX_POSITION_IMPACT_FACTOR</x:v>
      </x:c>
      <x:c r="D100" s="14" t="str">
        <x:v>marketIndex=market#2 · WETH/UNKNOWN, isPositive=true</x:v>
      </x:c>
      <x:c r="E100" s="14" t="str">
        <x:v>uint</x:v>
      </x:c>
      <x:c r="F100" s="14" t="str">
        <x:v>⁠1000000000000000000000000000000</x:v>
      </x:c>
      <x:c r="G100" s="14" t="str">
        <x:v>⁠0x519fcdd23322d44093d98e41a6c3aa6a3b794ca379a6c2178137d6602e7c5835</x:v>
      </x:c>
      <x:c r="H100" s="14" t="str">
        <x:v>keccak256(abi.encode(BASE,...args))</x:v>
      </x:c>
      <x:c r="I100" s="14" t="str">
        <x:v>source-scan</x:v>
      </x:c>
      <x:c r="J100" s="14" t="str">
        <x:v>⁠46282993</x:v>
      </x:c>
    </x:row>
    <x:row r="101">
      <x:c r="A101" s="16" t="n">
        <x:v>100</x:v>
      </x:c>
      <x:c r="B101" s="14" t="str">
        <x:v>derived</x:v>
      </x:c>
      <x:c r="C101" s="14" t="str">
        <x:v>MAX_POSITION_IMPACT_FACTOR</x:v>
      </x:c>
      <x:c r="D101" s="14" t="str">
        <x:v>marketIndex=market#2 · WETH/UNKNOWN, isPositive=false</x:v>
      </x:c>
      <x:c r="E101" s="14" t="str">
        <x:v>uint</x:v>
      </x:c>
      <x:c r="F101" s="14" t="str">
        <x:v>⁠1000000000000000000000000000000</x:v>
      </x:c>
      <x:c r="G101" s="14" t="str">
        <x:v>⁠0x7314036a59eae53556115887cb74e883ec209c921024f3e3bc455fd7346158ab</x:v>
      </x:c>
      <x:c r="H101" s="14" t="str">
        <x:v>keccak256(abi.encode(BASE,...args))</x:v>
      </x:c>
      <x:c r="I101" s="14" t="str">
        <x:v>source-scan</x:v>
      </x:c>
      <x:c r="J101" s="14" t="str">
        <x:v>⁠46282993</x:v>
      </x:c>
    </x:row>
    <x:row r="102">
      <x:c r="A102" s="16" t="n">
        <x:v>101</x:v>
      </x:c>
      <x:c r="B102" s="14" t="str">
        <x:v>derived</x:v>
      </x:c>
      <x:c r="C102" s="14" t="str">
        <x:v>POSITION_FEE_FACTOR</x:v>
      </x:c>
      <x:c r="D102" s="14" t="str">
        <x:v>marketIndex=market#1 · BTC/UNKNOWN, balanceWasImproved=true</x:v>
      </x:c>
      <x:c r="E102" s="14" t="str">
        <x:v>uint</x:v>
      </x:c>
      <x:c r="F102" s="14" t="str">
        <x:v>⁠500000000000000000000000000</x:v>
      </x:c>
      <x:c r="G102" s="14" t="str">
        <x:v>⁠0x89618fec30c1b8fb9c507c8d6b5b2612c8ed20b562f13b7d87d23f0742814718</x:v>
      </x:c>
      <x:c r="H102" s="14" t="str">
        <x:v>keccak256(abi.encode(BASE,...args))</x:v>
      </x:c>
      <x:c r="I102" s="14" t="str">
        <x:v>source-scan</x:v>
      </x:c>
      <x:c r="J102" s="14" t="str">
        <x:v>⁠46282993</x:v>
      </x:c>
    </x:row>
    <x:row r="103">
      <x:c r="A103" s="16" t="n">
        <x:v>102</x:v>
      </x:c>
      <x:c r="B103" s="14" t="str">
        <x:v>derived</x:v>
      </x:c>
      <x:c r="C103" s="14" t="str">
        <x:v>POSITION_FEE_FACTOR</x:v>
      </x:c>
      <x:c r="D103" s="14" t="str">
        <x:v>marketIndex=market#1 · BTC/UNKNOWN, balanceWasImproved=false</x:v>
      </x:c>
      <x:c r="E103" s="14" t="str">
        <x:v>uint</x:v>
      </x:c>
      <x:c r="F103" s="14" t="str">
        <x:v>⁠500000000000000000000000000</x:v>
      </x:c>
      <x:c r="G103" s="14" t="str">
        <x:v>⁠0x3b0236897b889bae905d97f2b73dc6d491c54028fee41b2b04375309187b5369</x:v>
      </x:c>
      <x:c r="H103" s="14" t="str">
        <x:v>keccak256(abi.encode(BASE,...args))</x:v>
      </x:c>
      <x:c r="I103" s="14" t="str">
        <x:v>source-scan</x:v>
      </x:c>
      <x:c r="J103" s="14" t="str">
        <x:v>⁠46282993</x:v>
      </x:c>
    </x:row>
    <x:row r="104">
      <x:c r="A104" s="16" t="n">
        <x:v>103</x:v>
      </x:c>
      <x:c r="B104" s="14" t="str">
        <x:v>derived</x:v>
      </x:c>
      <x:c r="C104" s="14" t="str">
        <x:v>POSITION_FEE_FACTOR</x:v>
      </x:c>
      <x:c r="D104" s="14" t="str">
        <x:v>marketIndex=market#2 · WETH/UNKNOWN, balanceWasImproved=true</x:v>
      </x:c>
      <x:c r="E104" s="14" t="str">
        <x:v>uint</x:v>
      </x:c>
      <x:c r="F104" s="14" t="str">
        <x:v>⁠500000000000000000000000000</x:v>
      </x:c>
      <x:c r="G104" s="14" t="str">
        <x:v>⁠0x21dee952d11e96a0faff7554ada2742dbc1d942dc5a9df3929a05032bb951514</x:v>
      </x:c>
      <x:c r="H104" s="14" t="str">
        <x:v>keccak256(abi.encode(BASE,...args))</x:v>
      </x:c>
      <x:c r="I104" s="14" t="str">
        <x:v>source-scan</x:v>
      </x:c>
      <x:c r="J104" s="14" t="str">
        <x:v>⁠46282993</x:v>
      </x:c>
    </x:row>
    <x:row r="105">
      <x:c r="A105" s="16" t="n">
        <x:v>104</x:v>
      </x:c>
      <x:c r="B105" s="14" t="str">
        <x:v>derived</x:v>
      </x:c>
      <x:c r="C105" s="14" t="str">
        <x:v>POSITION_FEE_FACTOR</x:v>
      </x:c>
      <x:c r="D105" s="14" t="str">
        <x:v>marketIndex=market#2 · WETH/UNKNOWN, balanceWasImproved=false</x:v>
      </x:c>
      <x:c r="E105" s="14" t="str">
        <x:v>uint</x:v>
      </x:c>
      <x:c r="F105" s="14" t="str">
        <x:v>⁠500000000000000000000000000</x:v>
      </x:c>
      <x:c r="G105" s="14" t="str">
        <x:v>⁠0xe3c57c52372bed638f17537a1beb7c185a451551865fea71fab1241d2ee46549</x:v>
      </x:c>
      <x:c r="H105" s="14" t="str">
        <x:v>keccak256(abi.encode(BASE,...args))</x:v>
      </x:c>
      <x:c r="I105" s="14" t="str">
        <x:v>source-scan</x:v>
      </x:c>
      <x:c r="J105" s="14" t="str">
        <x:v>⁠46282993</x:v>
      </x:c>
    </x:row>
    <x:row r="106">
      <x:c r="A106" s="16" t="n">
        <x:v>105</x:v>
      </x:c>
      <x:c r="B106" s="14" t="str">
        <x:v>derived</x:v>
      </x:c>
      <x:c r="C106" s="14" t="str">
        <x:v>LIQUIDATION_FEE_FACTOR</x:v>
      </x:c>
      <x:c r="D106" s="14" t="str">
        <x:v>marketIndex=market#1 · BTC/UNKNOWN</x:v>
      </x:c>
      <x:c r="E106" s="14" t="str">
        <x:v>uint</x:v>
      </x:c>
      <x:c r="F106" s="14" t="str">
        <x:v>⁠3000000000000000000000000000</x:v>
      </x:c>
      <x:c r="G106" s="14" t="str">
        <x:v>⁠0xef8f91fbca41737f22548c75fd70160fc5dcc8d7930779d790392df8699fd4b3</x:v>
      </x:c>
      <x:c r="H106" s="14" t="str">
        <x:v>keccak256(abi.encode(BASE,...args))</x:v>
      </x:c>
      <x:c r="I106" s="14" t="str">
        <x:v>source-scan</x:v>
      </x:c>
      <x:c r="J106" s="14" t="str">
        <x:v>⁠46282993</x:v>
      </x:c>
    </x:row>
    <x:row r="107">
      <x:c r="A107" s="16" t="n">
        <x:v>106</x:v>
      </x:c>
      <x:c r="B107" s="14" t="str">
        <x:v>derived</x:v>
      </x:c>
      <x:c r="C107" s="14" t="str">
        <x:v>LIQUIDATION_FEE_FACTOR</x:v>
      </x:c>
      <x:c r="D107" s="14" t="str">
        <x:v>marketIndex=market#2 · WETH/UNKNOWN</x:v>
      </x:c>
      <x:c r="E107" s="14" t="str">
        <x:v>uint</x:v>
      </x:c>
      <x:c r="F107" s="14" t="str">
        <x:v>⁠3000000000000000000000000000</x:v>
      </x:c>
      <x:c r="G107" s="14" t="str">
        <x:v>⁠0xa7379edf4fdbebb6fdbbd3eb7ab18fcbf7fc78e9d3f063c2a59cbf46bced3b1e</x:v>
      </x:c>
      <x:c r="H107" s="14" t="str">
        <x:v>keccak256(abi.encode(BASE,...args))</x:v>
      </x:c>
      <x:c r="I107" s="14" t="str">
        <x:v>source-scan</x:v>
      </x:c>
      <x:c r="J107" s="14" t="str">
        <x:v>⁠46282993</x:v>
      </x:c>
    </x:row>
    <x:row r="108">
      <x:c r="A108" s="16" t="n">
        <x:v>107</x:v>
      </x:c>
      <x:c r="B108" s="14" t="str">
        <x:v>derived</x:v>
      </x:c>
      <x:c r="C108" s="14" t="str">
        <x:v>PRICE_FEED</x:v>
      </x:c>
      <x:c r="D108" s="14" t="str">
        <x:v>token=BTC / market#1 indexToken</x:v>
      </x:c>
      <x:c r="E108" s="14" t="str">
        <x:v>address</x:v>
      </x:c>
      <x:c r="F108" s="14" t="str">
        <x:v>⁠0x56e99c391ce1c08074e764d5343930d767bfc053</x:v>
      </x:c>
      <x:c r="G108" s="14" t="str">
        <x:v>⁠0xafade91aab9d79277dab8777f381812c4c66db221b60a1ae4e07576942e128fc</x:v>
      </x:c>
      <x:c r="H108" s="14" t="str">
        <x:v>keccak256(abi.encode(BASE,...args))</x:v>
      </x:c>
      <x:c r="I108" s="14" t="str">
        <x:v>source-scan</x:v>
      </x:c>
      <x:c r="J108" s="14" t="str">
        <x:v>⁠46282993</x:v>
      </x:c>
    </x:row>
    <x:row r="109">
      <x:c r="A109" s="16" t="n">
        <x:v>108</x:v>
      </x:c>
      <x:c r="B109" s="14" t="str">
        <x:v>derived</x:v>
      </x:c>
      <x:c r="C109" s="14" t="str">
        <x:v>PRICE_FEED</x:v>
      </x:c>
      <x:c r="D109" s="14" t="str">
        <x:v>token=WETH / market#2 indexToken / WNT (Base WETH)</x:v>
      </x:c>
      <x:c r="E109" s="14" t="str">
        <x:v>address</x:v>
      </x:c>
      <x:c r="F109" s="14" t="str">
        <x:v>⁠0x29fd027b738fee9ffdac257b5229167078130adc</x:v>
      </x:c>
      <x:c r="G109" s="14" t="str">
        <x:v>⁠0x1e32bc88c78e9f0ee4d37cd2c77c5c6e735a951315409a1704c8f8d3b7f4c708</x:v>
      </x:c>
      <x:c r="H109" s="14" t="str">
        <x:v>keccak256(abi.encode(BASE,...args))</x:v>
      </x:c>
      <x:c r="I109" s="14" t="str">
        <x:v>source-scan</x:v>
      </x:c>
      <x:c r="J109" s="14" t="str">
        <x:v>⁠46282993</x:v>
      </x:c>
    </x:row>
    <x:row r="110">
      <x:c r="A110" s="16" t="n">
        <x:v>109</x:v>
      </x:c>
      <x:c r="B110" s="14" t="str">
        <x:v>derived</x:v>
      </x:c>
      <x:c r="C110" s="14" t="str">
        <x:v>PRICE_FEED</x:v>
      </x:c>
      <x:c r="D110" s="14" t="str">
        <x:v>token=USDC / MockUSDC</x:v>
      </x:c>
      <x:c r="E110" s="14" t="str">
        <x:v>address</x:v>
      </x:c>
      <x:c r="F110" s="14" t="str">
        <x:v>⁠0x2888982ba846222fc1466ac73179ab97ad001e10</x:v>
      </x:c>
      <x:c r="G110" s="14" t="str">
        <x:v>⁠0x6462c34774d0790c61a03679c0b0b96779ba90bbd6d097290e2fe027ce937caf</x:v>
      </x:c>
      <x:c r="H110" s="14" t="str">
        <x:v>keccak256(abi.encode(BASE,...args))</x:v>
      </x:c>
      <x:c r="I110" s="14" t="str">
        <x:v>source-scan</x:v>
      </x:c>
      <x:c r="J110" s="14" t="str">
        <x:v>⁠46282993</x:v>
      </x:c>
    </x:row>
    <x:row r="111">
      <x:c r="A111" s="16" t="n">
        <x:v>110</x:v>
      </x:c>
      <x:c r="B111" s="14" t="str">
        <x:v>derived</x:v>
      </x:c>
      <x:c r="C111" s="14" t="str">
        <x:v>PRICE_FEED_MULTIPLIER</x:v>
      </x:c>
      <x:c r="D111" s="14" t="str">
        <x:v>token=BTC / market#1 indexToken</x:v>
      </x:c>
      <x:c r="E111" s="14" t="str">
        <x:v>uint</x:v>
      </x:c>
      <x:c r="F111" s="14" t="str">
        <x:v>⁠10000000000000000000000000000000000</x:v>
      </x:c>
      <x:c r="G111" s="14" t="str">
        <x:v>⁠0x513c5b49aca7fb9a974659b4700e7999346b0e44b5ee4ecebeea4877ca4fc324</x:v>
      </x:c>
      <x:c r="H111" s="14" t="str">
        <x:v>keccak256(abi.encode(BASE,...args))</x:v>
      </x:c>
      <x:c r="I111" s="14" t="str">
        <x:v>source-scan</x:v>
      </x:c>
      <x:c r="J111" s="14" t="str">
        <x:v>⁠46282993</x:v>
      </x:c>
    </x:row>
    <x:row r="112">
      <x:c r="A112" s="16" t="n">
        <x:v>111</x:v>
      </x:c>
      <x:c r="B112" s="14" t="str">
        <x:v>derived</x:v>
      </x:c>
      <x:c r="C112" s="14" t="str">
        <x:v>PRICE_FEED_MULTIPLIER</x:v>
      </x:c>
      <x:c r="D112" s="14" t="str">
        <x:v>token=WETH / market#2 indexToken / WNT (Base WETH)</x:v>
      </x:c>
      <x:c r="E112" s="14" t="str">
        <x:v>uint</x:v>
      </x:c>
      <x:c r="F112" s="14" t="str">
        <x:v>⁠10000000000000000000000000000000000</x:v>
      </x:c>
      <x:c r="G112" s="14" t="str">
        <x:v>⁠0x4d61b0a46405a440b33b8d5248e7e1cb35c723ceb82abda8aee2465506e6f175</x:v>
      </x:c>
      <x:c r="H112" s="14" t="str">
        <x:v>keccak256(abi.encode(BASE,...args))</x:v>
      </x:c>
      <x:c r="I112" s="14" t="str">
        <x:v>source-scan</x:v>
      </x:c>
      <x:c r="J112" s="14" t="str">
        <x:v>⁠46282993</x:v>
      </x:c>
    </x:row>
    <x:row r="113">
      <x:c r="A113" s="16" t="n">
        <x:v>112</x:v>
      </x:c>
      <x:c r="B113" s="14" t="str">
        <x:v>derived</x:v>
      </x:c>
      <x:c r="C113" s="14" t="str">
        <x:v>PRICE_FEED_MULTIPLIER</x:v>
      </x:c>
      <x:c r="D113" s="14" t="str">
        <x:v>token=USDC / MockUSDC</x:v>
      </x:c>
      <x:c r="E113" s="14" t="str">
        <x:v>uint</x:v>
      </x:c>
      <x:c r="F113" s="14" t="str">
        <x:v>⁠1000000000000000000000000000000000000</x:v>
      </x:c>
      <x:c r="G113" s="14" t="str">
        <x:v>⁠0x8b27ded9108a05e804f4d7d63f7992054acad86e4eb3180c5482c51d68ae785c</x:v>
      </x:c>
      <x:c r="H113" s="14" t="str">
        <x:v>keccak256(abi.encode(BASE,...args))</x:v>
      </x:c>
      <x:c r="I113" s="14" t="str">
        <x:v>source-scan</x:v>
      </x:c>
      <x:c r="J113" s="14" t="str">
        <x:v>⁠46282993</x:v>
      </x:c>
    </x:row>
    <x:row r="114">
      <x:c r="A114" s="16" t="n">
        <x:v>113</x:v>
      </x:c>
      <x:c r="B114" s="14" t="str">
        <x:v>derived</x:v>
      </x:c>
      <x:c r="C114" s="14" t="str">
        <x:v>PRICE_FEED_HEARTBEAT_DURATION</x:v>
      </x:c>
      <x:c r="D114" s="14" t="str">
        <x:v>token=BTC / market#1 indexToken</x:v>
      </x:c>
      <x:c r="E114" s="14" t="str">
        <x:v>uint</x:v>
      </x:c>
      <x:c r="F114" s="14" t="str">
        <x:v>⁠86400</x:v>
      </x:c>
      <x:c r="G114" s="14" t="str">
        <x:v>⁠0xd4e908ba79b57cea866776c500c45e1232e9b872008d3acd88efc53292c77959</x:v>
      </x:c>
      <x:c r="H114" s="14" t="str">
        <x:v>keccak256(abi.encode(BASE,...args))</x:v>
      </x:c>
      <x:c r="I114" s="14" t="str">
        <x:v>source-scan</x:v>
      </x:c>
      <x:c r="J114" s="14" t="str">
        <x:v>⁠46282993</x:v>
      </x:c>
    </x:row>
    <x:row r="115">
      <x:c r="A115" s="16" t="n">
        <x:v>114</x:v>
      </x:c>
      <x:c r="B115" s="14" t="str">
        <x:v>derived</x:v>
      </x:c>
      <x:c r="C115" s="14" t="str">
        <x:v>PRICE_FEED_HEARTBEAT_DURATION</x:v>
      </x:c>
      <x:c r="D115" s="14" t="str">
        <x:v>token=WETH / market#2 indexToken / WNT (Base WETH)</x:v>
      </x:c>
      <x:c r="E115" s="14" t="str">
        <x:v>uint</x:v>
      </x:c>
      <x:c r="F115" s="14" t="str">
        <x:v>⁠86400</x:v>
      </x:c>
      <x:c r="G115" s="14" t="str">
        <x:v>⁠0x4f0ffc6e027cb44d677ad43ac84ce70c885d4b6d8609a96ae0e9c84c0994cce3</x:v>
      </x:c>
      <x:c r="H115" s="14" t="str">
        <x:v>keccak256(abi.encode(BASE,...args))</x:v>
      </x:c>
      <x:c r="I115" s="14" t="str">
        <x:v>source-scan</x:v>
      </x:c>
      <x:c r="J115" s="14" t="str">
        <x:v>⁠46282993</x:v>
      </x:c>
    </x:row>
    <x:row r="116">
      <x:c r="A116" s="16" t="n">
        <x:v>115</x:v>
      </x:c>
      <x:c r="B116" s="14" t="str">
        <x:v>derived</x:v>
      </x:c>
      <x:c r="C116" s="14" t="str">
        <x:v>PRICE_FEED_HEARTBEAT_DURATION</x:v>
      </x:c>
      <x:c r="D116" s="14" t="str">
        <x:v>token=USDC / MockUSDC</x:v>
      </x:c>
      <x:c r="E116" s="14" t="str">
        <x:v>uint</x:v>
      </x:c>
      <x:c r="F116" s="14" t="str">
        <x:v>⁠86400</x:v>
      </x:c>
      <x:c r="G116" s="14" t="str">
        <x:v>⁠0x76a076b6b7761f3374df0299bc4445d051792b04cc36f369bc828c6f10fb15e0</x:v>
      </x:c>
      <x:c r="H116" s="14" t="str">
        <x:v>keccak256(abi.encode(BASE,...args))</x:v>
      </x:c>
      <x:c r="I116" s="14" t="str">
        <x:v>source-scan</x:v>
      </x:c>
      <x:c r="J116" s="14" t="str">
        <x:v>⁠46282993</x:v>
      </x:c>
    </x:row>
    <x:row r="117">
      <x:c r="A117" s="16" t="n">
        <x:v>116</x:v>
      </x:c>
      <x:c r="B117" s="14" t="str">
        <x:v>derived</x:v>
      </x:c>
      <x:c r="C117" s="14" t="str">
        <x:v>LIQUIDATION_GRACE_PERIOD_BASE</x:v>
      </x:c>
      <x:c r="D117" s="14" t="str">
        <x:v>marketIndex=market#1 · BTC/UNKNOWN</x:v>
      </x:c>
      <x:c r="E117" s="14" t="str">
        <x:v>uint</x:v>
      </x:c>
      <x:c r="F117" s="14" t="str">
        <x:v>⁠900</x:v>
      </x:c>
      <x:c r="G117" s="14" t="str">
        <x:v>⁠0xe31f45769cf4c350e174a92df03363a73edaa60d8c8e3d68302785584246840c</x:v>
      </x:c>
      <x:c r="H117" s="14" t="str">
        <x:v>keccak256(abi.encode(BASE,...args))</x:v>
      </x:c>
      <x:c r="I117" s="14" t="str">
        <x:v>source-scan</x:v>
      </x:c>
      <x:c r="J117" s="14" t="str">
        <x:v>⁠46282993</x:v>
      </x:c>
    </x:row>
    <x:row r="118">
      <x:c r="A118" s="16" t="n">
        <x:v>117</x:v>
      </x:c>
      <x:c r="B118" s="14" t="str">
        <x:v>derived</x:v>
      </x:c>
      <x:c r="C118" s="14" t="str">
        <x:v>LIQUIDATION_GRACE_PERIOD_BASE</x:v>
      </x:c>
      <x:c r="D118" s="14" t="str">
        <x:v>marketIndex=market#2 · WETH/UNKNOWN</x:v>
      </x:c>
      <x:c r="E118" s="14" t="str">
        <x:v>uint</x:v>
      </x:c>
      <x:c r="F118" s="14" t="str">
        <x:v>⁠900</x:v>
      </x:c>
      <x:c r="G118" s="14" t="str">
        <x:v>⁠0x4d1c3992c607ef43c406c50aecbb66a2f2bce4f16c3c4ecc8a214ef29c1fc988</x:v>
      </x:c>
      <x:c r="H118" s="14" t="str">
        <x:v>keccak256(abi.encode(BASE,...args))</x:v>
      </x:c>
      <x:c r="I118" s="14" t="str">
        <x:v>source-scan</x:v>
      </x:c>
      <x:c r="J118" s="14" t="str">
        <x:v>⁠46282993</x:v>
      </x:c>
    </x:row>
    <x:row r="119">
      <x:c r="A119" s="16" t="n">
        <x:v>118</x:v>
      </x:c>
      <x:c r="B119" s="14" t="str">
        <x:v>derived</x:v>
      </x:c>
      <x:c r="C119" s="14" t="str">
        <x:v>LIQUIDATION_GRACE_PERIOD_TIER_MULTIPLIER</x:v>
      </x:c>
      <x:c r="D119" s="14" t="str">
        <x:v>tier=tier0</x:v>
      </x:c>
      <x:c r="E119" s="14" t="str">
        <x:v>uint</x:v>
      </x:c>
      <x:c r="F119" s="14" t="str">
        <x:v>⁠1000000000000000000</x:v>
      </x:c>
      <x:c r="G119" s="14" t="str">
        <x:v>⁠0x01664845e671719bdc3e339098b3a69f2815636aeaca8c715ad4f67e1cd45fe5</x:v>
      </x:c>
      <x:c r="H119" s="14" t="str">
        <x:v>keccak256(abi.encode(BASE,...args))</x:v>
      </x:c>
      <x:c r="I119" s="14" t="str">
        <x:v>source-scan</x:v>
      </x:c>
      <x:c r="J119" s="14" t="str">
        <x:v>⁠46282993</x:v>
      </x:c>
    </x:row>
    <x:row r="120">
      <x:c r="A120" s="16" t="n">
        <x:v>119</x:v>
      </x:c>
      <x:c r="B120" s="14" t="str">
        <x:v>derived</x:v>
      </x:c>
      <x:c r="C120" s="14" t="str">
        <x:v>MAX_POSITION_SIZE_USD</x:v>
      </x:c>
      <x:c r="D120" s="14" t="str">
        <x:v>marketIndex=market#1 · BTC/UNKNOWN</x:v>
      </x:c>
      <x:c r="E120" s="14" t="str">
        <x:v>uint</x:v>
      </x:c>
      <x:c r="F120" s="14" t="str">
        <x:v>⁠8000000000000000000000000000000000000</x:v>
      </x:c>
      <x:c r="G120" s="14" t="str">
        <x:v>⁠0x059ecddb79f1fbc25c8c8c3ea632defed95d37102db02a0daacdc8514e7bbcec</x:v>
      </x:c>
      <x:c r="H120" s="14" t="str">
        <x:v>keccak256(abi.encode(BASE,...args))</x:v>
      </x:c>
      <x:c r="I120" s="14" t="str">
        <x:v>source-scan</x:v>
      </x:c>
      <x:c r="J120" s="14" t="str">
        <x:v>⁠46282993</x:v>
      </x:c>
    </x:row>
    <x:row r="121">
      <x:c r="A121" s="16" t="n">
        <x:v>120</x:v>
      </x:c>
      <x:c r="B121" s="14" t="str">
        <x:v>derived</x:v>
      </x:c>
      <x:c r="C121" s="14" t="str">
        <x:v>MAX_POSITION_SIZE_USD</x:v>
      </x:c>
      <x:c r="D121" s="14" t="str">
        <x:v>marketIndex=market#2 · WETH/UNKNOWN</x:v>
      </x:c>
      <x:c r="E121" s="14" t="str">
        <x:v>uint</x:v>
      </x:c>
      <x:c r="F121" s="14" t="str">
        <x:v>⁠6000000000000000000000000000000000000</x:v>
      </x:c>
      <x:c r="G121" s="14" t="str">
        <x:v>⁠0x81fb8e26808719e27efd122bd4f3d88dee08dacf9a0096aa47b9400afde4bf76</x:v>
      </x:c>
      <x:c r="H121" s="14" t="str">
        <x:v>keccak256(abi.encode(BASE,...args))</x:v>
      </x:c>
      <x:c r="I121" s="14" t="str">
        <x:v>source-scan</x:v>
      </x:c>
      <x:c r="J121" s="14" t="str">
        <x:v>⁠46282993</x:v>
      </x:c>
    </x:row>
    <x:row r="122">
      <x:c r="A122" s="16" t="n">
        <x:v>121</x:v>
      </x:c>
      <x:c r="B122" s="14" t="str">
        <x:v>derived</x:v>
      </x:c>
      <x:c r="C122" s="14" t="str">
        <x:v>EXECUTION_FEE_SUBSIDIZE</x:v>
      </x:c>
      <x:c r="D122" s="14" t="str">
        <x:v>marketIndex=market#1 · BTC/UNKNOWN</x:v>
      </x:c>
      <x:c r="E122" s="14" t="str">
        <x:v>uint</x:v>
      </x:c>
      <x:c r="F122" s="14" t="str">
        <x:v>⁠20000000000000000000000000000000</x:v>
      </x:c>
      <x:c r="G122" s="14" t="str">
        <x:v>⁠0xc5040f72a63c86934a5acfd6ab856336e62a69fa139de1eec40850e12f9e821f</x:v>
      </x:c>
      <x:c r="H122" s="14" t="str">
        <x:v>keccak256(abi.encode(BASE,...args))</x:v>
      </x:c>
      <x:c r="I122" s="14" t="str">
        <x:v>source-scan</x:v>
      </x:c>
      <x:c r="J122" s="14" t="str">
        <x:v>⁠46282993</x:v>
      </x:c>
    </x:row>
    <x:row r="123">
      <x:c r="A123" s="16" t="n">
        <x:v>122</x:v>
      </x:c>
      <x:c r="B123" s="14" t="str">
        <x:v>derived</x:v>
      </x:c>
      <x:c r="C123" s="14" t="str">
        <x:v>EXECUTION_FEE_SUBSIDIZE</x:v>
      </x:c>
      <x:c r="D123" s="14" t="str">
        <x:v>marketIndex=market#2 · WETH/UNKNOWN</x:v>
      </x:c>
      <x:c r="E123" s="14" t="str">
        <x:v>uint</x:v>
      </x:c>
      <x:c r="F123" s="14" t="str">
        <x:v>⁠20000000000000000000000000000000</x:v>
      </x:c>
      <x:c r="G123" s="14" t="str">
        <x:v>⁠0x6f5812259c11104ae28e7f04bafb4719c8b94dc314b6d05202d23b6859b3c284</x:v>
      </x:c>
      <x:c r="H123" s="14" t="str">
        <x:v>keccak256(abi.encode(BASE,...args))</x:v>
      </x:c>
      <x:c r="I123" s="14" t="str">
        <x:v>source-scan</x:v>
      </x:c>
      <x:c r="J123" s="14" t="str">
        <x:v>⁠46282993</x:v>
      </x:c>
    </x:row>
    <x:row r="124">
      <x:c r="A124" s="16" t="n">
        <x:v>123</x:v>
      </x:c>
      <x:c r="B124" s="14" t="str">
        <x:v>derived</x:v>
      </x:c>
      <x:c r="C124" s="14" t="str">
        <x:v>EXECUTION_FEE_SUBSIDIZE_SIZE</x:v>
      </x:c>
      <x:c r="D124" s="14" t="str">
        <x:v>marketIndex=market#1 · BTC/UNKNOWN</x:v>
      </x:c>
      <x:c r="E124" s="14" t="str">
        <x:v>uint</x:v>
      </x:c>
      <x:c r="F124" s="14" t="str">
        <x:v>⁠333333333333333</x:v>
      </x:c>
      <x:c r="G124" s="14" t="str">
        <x:v>⁠0xdb28d307ba2115675fae6772780f58d0ab8440d96394495f6dea7fa4994ca13c</x:v>
      </x:c>
      <x:c r="H124" s="14" t="str">
        <x:v>keccak256(abi.encode(BASE,...args))</x:v>
      </x:c>
      <x:c r="I124" s="14" t="str">
        <x:v>source-scan</x:v>
      </x:c>
      <x:c r="J124" s="14" t="str">
        <x:v>⁠46282993</x:v>
      </x:c>
    </x:row>
    <x:row r="125">
      <x:c r="A125" s="16" t="n">
        <x:v>124</x:v>
      </x:c>
      <x:c r="B125" s="14" t="str">
        <x:v>derived</x:v>
      </x:c>
      <x:c r="C125" s="14" t="str">
        <x:v>EXECUTION_FEE_SUBSIDIZE_SIZE</x:v>
      </x:c>
      <x:c r="D125" s="14" t="str">
        <x:v>marketIndex=market#2 · WETH/UNKNOWN</x:v>
      </x:c>
      <x:c r="E125" s="14" t="str">
        <x:v>uint</x:v>
      </x:c>
      <x:c r="F125" s="14" t="str">
        <x:v>⁠10000000000000000</x:v>
      </x:c>
      <x:c r="G125" s="14" t="str">
        <x:v>⁠0xc8fa48d7a726082c6b27b9c906e71cf0212b3f6c66d7f13ec2b8e23dce8a80e1</x:v>
      </x:c>
      <x:c r="H125" s="14" t="str">
        <x:v>keccak256(abi.encode(BASE,...args))</x:v>
      </x:c>
      <x:c r="I125" s="14" t="str">
        <x:v>source-scan</x:v>
      </x:c>
      <x:c r="J125" s="14" t="str">
        <x:v>⁠46282993</x:v>
      </x:c>
    </x:row>
  </x:sheetData>
  <x:pageMargins left="0.7" right="0.7" top="0.75" bottom="0.75" header="0.3" footer="0.3"/>
  <x:tableParts count="1">
    <x:tablePart xmlns:r="http://schemas.openxmlformats.org/officeDocument/2006/relationships" r:id="Rc3b5c9c1272a45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0" hidden="0" customWidth="1"/>
    <x:col min="4" max="4" width="56" hidden="0" customWidth="1"/>
    <x:col min="5" max="5" width="56" hidden="0" customWidth="1"/>
    <x:col min="6" max="6" width="44" hidden="0" customWidth="1"/>
  </x:cols>
  <x:sheetData>
    <x:row r="1" ht="34" customHeight="1">
      <x:c r="A1" s="10" t="str">
        <x:v>序号</x:v>
      </x:c>
      <x:c r="B1" s="10" t="str">
        <x:v>参数/功能</x:v>
      </x:c>
      <x:c r="C1" s="10" t="str">
        <x:v>变化类型</x:v>
      </x:c>
      <x:c r="D1" s="10" t="str">
        <x:v>v0.3.2 口径</x:v>
      </x:c>
      <x:c r="E1" s="10" t="str">
        <x:v>关键测试断言</x:v>
      </x:c>
      <x:c r="F1" s="10" t="str">
        <x:v>源码/证据锚点</x:v>
      </x:c>
    </x:row>
    <x:row r="2">
      <x:c r="A2" s="14" t="n">
        <x:v>1</x:v>
      </x:c>
      <x:c r="B2" s="14" t="str">
        <x:v>MIN_DYNAMIC_SPREAD</x:v>
      </x:c>
      <x:c r="C2" s="14" t="str">
        <x:v>新增 int256 配置</x:v>
      </x:c>
      <x:c r="D2" s="14" t="str">
        <x:v>每市场+方向的动态点差下限</x:v>
      </x:c>
      <x:c r="E2" s="14" t="str">
        <x:v>未配置会使 clamp 口径异常；逐市场/方向读 getInt</x:v>
      </x:c>
      <x:c r="F2" s="14" t="str">
        <x:v>FX100Keys.sol / PositionPricingUtils.sol</x:v>
      </x:c>
    </x:row>
    <x:row r="3">
      <x:c r="A3" s="14" t="n">
        <x:v>2</x:v>
      </x:c>
      <x:c r="B3" s="14" t="str">
        <x:v>MAX_DYNAMIC_SPREAD</x:v>
      </x:c>
      <x:c r="C3" s="14" t="str">
        <x:v>新增 int256 配置</x:v>
      </x:c>
      <x:c r="D3" s="14" t="str">
        <x:v>每市场+方向的动态点差上限</x:v>
      </x:c>
      <x:c r="E3" s="14" t="str">
        <x:v>覆盖 min/0/max 和 max&lt;min 边界</x:v>
      </x:c>
      <x:c r="F3" s="14" t="str">
        <x:v>FX100Keys.sol / PositionPricingUtils.sol</x:v>
      </x:c>
    </x:row>
    <x:row r="4">
      <x:c r="A4" s="14" t="n">
        <x:v>3</x:v>
      </x:c>
      <x:c r="B4" s="14" t="str">
        <x:v>Dynamic Spread</x:v>
      </x:c>
      <x:c r="C4" s="14" t="str">
        <x:v>消费语义变化</x:v>
      </x:c>
      <x:c r="D4" s="14" t="str">
        <x:v>int256 合成后 clamp；普通开/减仓允许负点差</x:v>
      </x:c>
      <x:c r="E4" s="14" t="str">
        <x:v>清算/ADL 必须将负点差 floor 到 0</x:v>
      </x:c>
      <x:c r="F4" s="14" t="str">
        <x:v>PositionPricingUtils.sol / PositionUtils.sol</x:v>
      </x:c>
    </x:row>
    <x:row r="5">
      <x:c r="A5" s="14" t="n">
        <x:v>4</x:v>
      </x:c>
      <x:c r="B5" s="14" t="str">
        <x:v>COLLATERAL_TOKEN</x:v>
      </x:c>
      <x:c r="C5" s="14" t="str">
        <x:v>作用域迁移</x:v>
      </x:c>
      <x:c r="D5" s="14" t="str">
        <x:v>每市场改为全局；Relay feeToken 必须一致</x:v>
      </x:c>
      <x:c r="E5" s="14" t="str">
        <x:v>未配置建市/Relay revert；旧市场槽位不再读</x:v>
      </x:c>
      <x:c r="F5" s="14" t="str">
        <x:v>MarketFactory.sol / BaseRelayRouter.sol</x:v>
      </x:c>
    </x:row>
    <x:row r="6">
      <x:c r="A6" s="14" t="n">
        <x:v>5</x:v>
      </x:c>
      <x:c r="B6" s="14" t="str">
        <x:v>SUBACCOUNT_SLOT*</x:v>
      </x:c>
      <x:c r="C6" s="14" t="str">
        <x:v>新增槽位模型</x:v>
      </x:c>
      <x:c r="D6" s="14" t="str">
        <x:v>每主账户 4 槽，含名称/地址/active</x:v>
      </x:c>
      <x:c r="E6" s="14" t="str">
        <x:v>上限、重名、重复地址、移除与 Reader/EIP-712</x:v>
      </x:c>
      <x:c r="F6" s="14" t="str">
        <x:v>SubaccountUtils.sol / RelayUtils.sol / Reader.sol</x:v>
      </x:c>
    </x:row>
    <x:row r="7">
      <x:c r="A7" s="14" t="n">
        <x:v>6</x:v>
      </x:c>
      <x:c r="B7" s="14" t="str">
        <x:v>SUBACCOUNT_LIST</x:v>
      </x:c>
      <x:c r="C7" s="14" t="str">
        <x:v>移除</x:v>
      </x:c>
      <x:c r="D7" s="14" t="str">
        <x:v>旧集合不再读取</x:v>
      </x:c>
      <x:c r="E7" s="14" t="str">
        <x:v>v0.3.1 旧授权升级后必须重建</x:v>
      </x:c>
      <x:c r="F7" s="14" t="str">
        <x:v>FX100Keys.sol diff / 04-参数目录.md §4</x:v>
      </x:c>
    </x:row>
    <x:row r="8">
      <x:c r="A8" s="14" t="n">
        <x:v>7</x:v>
      </x:c>
      <x:c r="B8" s="14" t="str">
        <x:v>CLAIMABLE_COLLATERAL_* / claimCollateral</x:v>
      </x:c>
      <x:c r="C8" s="14" t="str">
        <x:v>移除</x:v>
      </x:c>
      <x:c r="D8" s="14" t="str">
        <x:v>6 组键、Config 入口和 Router 领取入口移除</x:v>
      </x:c>
      <x:c r="E8" s="14" t="str">
        <x:v>ABI 无 selector；前端/Keeper/索引不再依赖</x:v>
      </x:c>
      <x:c r="F8" s="14" t="str">
        <x:v>FX100Keys.sol / Config.sol / ExchangeRouter.sol</x:v>
      </x:c>
    </x:row>
    <x:row r="9">
      <x:c r="A9" s="14" t="n">
        <x:v>8</x:v>
      </x:c>
      <x:c r="B9" s="14" t="str">
        <x:v>Funding settlement</x:v>
      </x:c>
      <x:c r="C9" s="14" t="str">
        <x:v>结算时点变化</x:v>
      </x:c>
      <x:c r="D9" s="14" t="str">
        <x:v>更新指数不转账；仓位动作时逐仓实结</x:v>
      </x:c>
      <x:c r="E9" s="14" t="str">
        <x:v>updateFundingState 后 Vault 不变；加/减仓后以实结金额闭环</x:v>
      </x:c>
      <x:c r="F9" s="14" t="str">
        <x:v>MarketUtils.sol::settleFundingFees</x:v>
      </x:c>
    </x:row>
    <x:row r="10">
      <x:c r="A10" s="14" t="n">
        <x:v>9</x:v>
      </x:c>
      <x:c r="B10" s="14" t="str">
        <x:v>minOutputAmount</x:v>
      </x:c>
      <x:c r="C10" s="14" t="str">
        <x:v>行为修复</x:v>
      </x:c>
      <x:c r="D10" s="14" t="str">
        <x:v>减仓实际输出按 USD 1e30 下限校验</x:v>
      </x:c>
      <x:c r="E10" s="14" t="str">
        <x:v>等于、小于、大于边界</x:v>
      </x:c>
      <x:c r="F10" s="14" t="str">
        <x:v>DecreaseOrderUtils.sol::_validateOutputAmount</x:v>
      </x:c>
    </x:row>
    <x:row r="11">
      <x:c r="A11" s="14" t="n">
        <x:v>10</x:v>
      </x:c>
      <x:c r="B11" s="14" t="str">
        <x:v>USD 减仓耗尽归一</x:v>
      </x:c>
      <x:c r="C11" s="14" t="str">
        <x:v>行为修复</x:v>
      </x:c>
      <x:c r="D11" s="14" t="str">
        <x:v>ceil 后耗尽 tokens 时归一为全平</x:v>
      </x:c>
      <x:c r="E11" s="14" t="str">
        <x:v>OrderSizeDeltaAutoUpdated 及仓位删除</x:v>
      </x:c>
      <x:c r="F11" s="14" t="str">
        <x:v>PositionUtils.sol::getDecreaseOrderSize</x:v>
      </x:c>
    </x:row>
    <x:row r="12">
      <x:c r="A12" s="14" t="n">
        <x:v>11</x:v>
      </x:c>
      <x:c r="B12" s="14" t="str">
        <x:v>remainingCostUsd</x:v>
      </x:c>
      <x:c r="C12" s="14" t="str">
        <x:v>单位修复</x:v>
      </x:c>
      <x:c r="D12" s="14" t="str">
        <x:v>Token 数量×抵押品价格后记 USD</x:v>
      </x:c>
      <x:c r="E12" s="14" t="str">
        <x:v>减仓后剩余成本与余额守恒</x:v>
      </x:c>
      <x:c r="F12" s="14" t="str">
        <x:v>DecreasePositionCollateralUtils.sol</x:v>
      </x:c>
    </x:row>
    <x:row r="13">
      <x:c r="A13" s="14" t="n">
        <x:v>12</x:v>
      </x:c>
      <x:c r="B13" s="14" t="str">
        <x:v>Liquidation</x:v>
      </x:c>
      <x:c r="C13" s="14" t="str">
        <x:v>判定修复</x:v>
      </x:c>
      <x:c r="D13" s="14" t="str">
        <x:v>成交价、balanceWasImproved 和费用档传递修正</x:v>
      </x:c>
      <x:c r="E13" s="14" t="str">
        <x:v>清算费用账本四层断言</x:v>
      </x:c>
      <x:c r="F13" s="14" t="str">
        <x:v>PositionUtils.sol / Liquidation.t.sol</x:v>
      </x:c>
    </x:row>
    <x:row r="14">
      <x:c r="A14" s="14" t="n">
        <x:v>13</x:v>
      </x:c>
      <x:c r="B14" s="14" t="str">
        <x:v>secondary output</x:v>
      </x:c>
      <x:c r="C14" s="14" t="str">
        <x:v>结构移除</x:v>
      </x:c>
      <x:c r="D14" s="14" t="str">
        <x:v>减仓只保留单输出结构</x:v>
      </x:c>
      <x:c r="E14" s="14" t="str">
        <x:v>ABI/事件/索引 schema 不再期待 secondary 字段</x:v>
      </x:c>
      <x:c r="F14" s="14" t="str">
        <x:v>PositionEventUtils.sol</x:v>
      </x:c>
    </x:row>
    <x:row r="15">
      <x:c r="A15" s="14" t="n">
        <x:v>14</x:v>
      </x:c>
      <x:c r="B15" s="14" t="str">
        <x:v>Vault withdrawal</x:v>
      </x:c>
      <x:c r="C15" s="14" t="str">
        <x:v>资产守恒修复</x:v>
      </x:c>
      <x:c r="D15" s="14" t="str">
        <x:v>按接收方实际到账量校验</x:v>
      </x:c>
      <x:c r="E15" s="14" t="str">
        <x:v>Strategy 少转/费用代币转账必须 mismatch revert</x:v>
      </x:c>
      <x:c r="F15" s="14" t="str">
        <x:v>VaultBase.sol::_withdrawAssets</x:v>
      </x:c>
    </x:row>
    <x:row r="16">
      <x:c r="A16" s="14" t="n">
        <x:v>15</x:v>
      </x:c>
      <x:c r="B16" s="14" t="str">
        <x:v>Referral/discount cap</x:v>
      </x:c>
      <x:c r="C16" s="14" t="str">
        <x:v>上限修复</x:v>
      </x:c>
      <x:c r="D16" s="14" t="str">
        <x:v>affiliate reward 不超过折扣后剩余费用</x:v>
      </x:c>
      <x:c r="E16" s="14" t="str">
        <x:v>折扣+返佣组合边界</x:v>
      </x:c>
      <x:c r="F16" s="14" t="str">
        <x:v>PositionPricingUtils.sol</x:v>
      </x:c>
    </x:row>
  </x:sheetData>
  <x:conditionalFormatting sqref="C2:C16">
    <x:cfRule type="containsText" dxfId="1" priority="1" operator="containsText" text="移除"/>
    <x:cfRule type="containsText" dxfId="2" priority="2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ee911956bc684f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62" hidden="0" customWidth="1"/>
    <x:col min="4" max="4" width="68" hidden="0" customWidth="1"/>
  </x:cols>
  <x:sheetData>
    <x:row r="1" ht="34" customHeight="1">
      <x:c r="A1" s="10" t="str">
        <x:v>类别</x:v>
      </x:c>
      <x:c r="B1" s="10" t="str">
        <x:v>名称</x:v>
      </x:c>
      <x:c r="C1" s="10" t="str">
        <x:v>值</x:v>
      </x:c>
      <x:c r="D1" s="10" t="str">
        <x:v>备注</x:v>
      </x:c>
    </x:row>
    <x:row r="2">
      <x:c r="A2" s="14" t="str">
        <x:v>元数据</x:v>
      </x:c>
      <x:c r="B2" s="14" t="str">
        <x:v>deployment</x:v>
      </x:c>
      <x:c r="C2" s="14" t="str">
        <x:v>tx-fork-v0.3.2-260902</x:v>
      </x:c>
      <x:c r="D2" s="14" t="str"/>
    </x:row>
    <x:row r="3">
      <x:c r="A3" s="14" t="str">
        <x:v>元数据</x:v>
      </x:c>
      <x:c r="B3" s="14" t="str">
        <x:v>release</x:v>
      </x:c>
      <x:c r="C3" s="14" t="str">
        <x:v>release-v0.3.2@13880f2416918f4fed3fea86d7f1023084a3ce0d</x:v>
      </x:c>
      <x:c r="D3" s="14" t="str"/>
    </x:row>
    <x:row r="4">
      <x:c r="A4" s="14" t="str">
        <x:v>元数据</x:v>
      </x:c>
      <x:c r="B4" s="14" t="str">
        <x:v>chainId</x:v>
      </x:c>
      <x:c r="C4" s="14" t="str">
        <x:v>⁠99911</x:v>
      </x:c>
      <x:c r="D4" s="14" t="str"/>
    </x:row>
    <x:row r="5">
      <x:c r="A5" s="14" t="str">
        <x:v>元数据</x:v>
      </x:c>
      <x:c r="B5" s="14" t="str">
        <x:v>forkBlockNumber</x:v>
      </x:c>
      <x:c r="C5" s="14" t="str">
        <x:v>⁠46282748</x:v>
      </x:c>
      <x:c r="D5" s="14" t="str">
        <x:v>部署清单记录的 fork 块高</x:v>
      </x:c>
    </x:row>
    <x:row r="6">
      <x:c r="A6" s="14" t="str">
        <x:v>元数据</x:v>
      </x:c>
      <x:c r="B6" s="14" t="str">
        <x:v>parameterSnapshotBlock</x:v>
      </x:c>
      <x:c r="C6" s="14" t="str">
        <x:v>⁠46282993</x:v>
      </x:c>
      <x:c r="D6" s="14" t="str">
        <x:v>参数读取块高</x:v>
      </x:c>
    </x:row>
    <x:row r="7">
      <x:c r="A7" s="14" t="str">
        <x:v>元数据</x:v>
      </x:c>
      <x:c r="B7" s="14" t="str">
        <x:v>generatedAt</x:v>
      </x:c>
      <x:c r="C7" s="14" t="str">
        <x:v>⁠2026-09-02T07:47:33.483Z</x:v>
      </x:c>
      <x:c r="D7" s="14" t="str"/>
    </x:row>
    <x:row r="8">
      <x:c r="A8" s="14" t="str">
        <x:v>核心合约</x:v>
      </x:c>
      <x:c r="B8" s="14" t="str">
        <x:v>exchangeRouter</x:v>
      </x:c>
      <x:c r="C8" s="14" t="str">
        <x:v>⁠0x3ada58B32e196B02b4188F1261C04175D71c1F2f</x:v>
      </x:c>
      <x:c r="D8" s="14" t="str"/>
    </x:row>
    <x:row r="9">
      <x:c r="A9" s="14" t="str">
        <x:v>核心合约</x:v>
      </x:c>
      <x:c r="B9" s="14" t="str">
        <x:v>reader</x:v>
      </x:c>
      <x:c r="C9" s="14" t="str">
        <x:v>⁠0x575c97e7991a782E1D5B91F18e3D36002E9c62A3</x:v>
      </x:c>
      <x:c r="D9" s="14" t="str"/>
    </x:row>
    <x:row r="10">
      <x:c r="A10" s="14" t="str">
        <x:v>核心合约</x:v>
      </x:c>
      <x:c r="B10" s="14" t="str">
        <x:v>dataStore</x:v>
      </x:c>
      <x:c r="C10" s="14" t="str">
        <x:v>⁠0x4741A9C9F0310625C0C68997ACdce43Ab55604b8</x:v>
      </x:c>
      <x:c r="D10" s="14" t="str"/>
    </x:row>
    <x:row r="11">
      <x:c r="A11" s="14" t="str">
        <x:v>核心合约</x:v>
      </x:c>
      <x:c r="B11" s="14" t="str">
        <x:v>roleStore</x:v>
      </x:c>
      <x:c r="C11" s="14" t="str">
        <x:v>⁠0x4741A9C9F0310625C0C68997ACdce43Ab55604b8</x:v>
      </x:c>
      <x:c r="D11" s="14" t="str"/>
    </x:row>
    <x:row r="12">
      <x:c r="A12" s="14" t="str">
        <x:v>核心合约</x:v>
      </x:c>
      <x:c r="B12" s="14" t="str">
        <x:v>config</x:v>
      </x:c>
      <x:c r="C12" s="14" t="str">
        <x:v>⁠0x52a504c65b9eE62718aFff3F984F3eBC136B3703</x:v>
      </x:c>
      <x:c r="D12" s="14" t="str"/>
    </x:row>
    <x:row r="13">
      <x:c r="A13" s="14" t="str">
        <x:v>核心合约</x:v>
      </x:c>
      <x:c r="B13" s="14" t="str">
        <x:v>oracle</x:v>
      </x:c>
      <x:c r="C13" s="14" t="str">
        <x:v>⁠0xd68153cfD5beA319B0a52f6b91279b41e488566d</x:v>
      </x:c>
      <x:c r="D13" s="14" t="str"/>
    </x:row>
    <x:row r="14">
      <x:c r="A14" s="14" t="str">
        <x:v>核心合约</x:v>
      </x:c>
      <x:c r="B14" s="14" t="str">
        <x:v>orderHandler</x:v>
      </x:c>
      <x:c r="C14" s="14" t="str">
        <x:v>⁠0x5459670bc4976568c7Bd8BBa56793d7b989fB64B</x:v>
      </x:c>
      <x:c r="D14" s="14" t="str"/>
    </x:row>
    <x:row r="15">
      <x:c r="A15" s="14" t="str">
        <x:v>核心合约</x:v>
      </x:c>
      <x:c r="B15" s="14" t="str">
        <x:v>liquidationHandler</x:v>
      </x:c>
      <x:c r="C15" s="14" t="str">
        <x:v>⁠0x276b5c707D341433c5c3b7A47d34ae55E8cD2959</x:v>
      </x:c>
      <x:c r="D15" s="14" t="str"/>
    </x:row>
    <x:row r="16">
      <x:c r="A16" s="14" t="str">
        <x:v>核心合约</x:v>
      </x:c>
      <x:c r="B16" s="14" t="str">
        <x:v>adlHandler</x:v>
      </x:c>
      <x:c r="C16" s="14" t="str">
        <x:v>⁠0x4eD3526E9dB8581D0a90b44c9da18D2089ebDe38</x:v>
      </x:c>
      <x:c r="D16" s="14" t="str"/>
    </x:row>
    <x:row r="17">
      <x:c r="A17" s="14" t="str">
        <x:v>核心合约</x:v>
      </x:c>
      <x:c r="B17" s="14" t="str">
        <x:v>eventEmitter</x:v>
      </x:c>
      <x:c r="C17" s="14" t="str">
        <x:v>⁠0xb6c75Bf4839e98514E258B5fe14c9292F6d21dC7</x:v>
      </x:c>
      <x:c r="D17" s="14" t="str"/>
    </x:row>
    <x:row r="18">
      <x:c r="A18" s="14" t="str">
        <x:v>核心合约</x:v>
      </x:c>
      <x:c r="B18" s="14" t="str">
        <x:v>positionVault</x:v>
      </x:c>
      <x:c r="C18" s="14" t="str">
        <x:v>⁠0x3F01288334b27085e3d21A41446De08d4a428F79</x:v>
      </x:c>
      <x:c r="D18" s="14" t="str"/>
    </x:row>
    <x:row r="19">
      <x:c r="A19" s="14" t="str">
        <x:v>扩展合约</x:v>
      </x:c>
      <x:c r="B19" s="14" t="str">
        <x:v>router</x:v>
      </x:c>
      <x:c r="C19" s="14" t="str">
        <x:v>⁠0x4f27e063A3166CAeDa762ee06C6CB25C0804588d</x:v>
      </x:c>
      <x:c r="D19" s="14" t="str"/>
    </x:row>
    <x:row r="20">
      <x:c r="A20" s="14" t="str">
        <x:v>扩展合约</x:v>
      </x:c>
      <x:c r="B20" s="14" t="str">
        <x:v>orderVault</x:v>
      </x:c>
      <x:c r="C20" s="14" t="str">
        <x:v>⁠0x10b092Eb44B719FcE3C3a1855DDF18e2BB620b35</x:v>
      </x:c>
      <x:c r="D20" s="14" t="str"/>
    </x:row>
    <x:row r="21">
      <x:c r="A21" s="14" t="str">
        <x:v>扩展合约</x:v>
      </x:c>
      <x:c r="B21" s="14" t="str">
        <x:v>lpVault</x:v>
      </x:c>
      <x:c r="C21" s="14" t="str">
        <x:v>⁠0x46Fb4f1eeBf811A59dcf6E6343aC5be36122DdE8</x:v>
      </x:c>
      <x:c r="D21" s="14" t="str"/>
    </x:row>
    <x:row r="22">
      <x:c r="A22" s="14" t="str">
        <x:v>扩展合约</x:v>
      </x:c>
      <x:c r="B22" s="14" t="str">
        <x:v>referralStorage</x:v>
      </x:c>
      <x:c r="C22" s="14" t="str">
        <x:v>⁠0x4c130fb16f8fD19b82c75674756922aaFD891Ac8</x:v>
      </x:c>
      <x:c r="D22" s="14" t="str"/>
    </x:row>
    <x:row r="23">
      <x:c r="A23" s="14" t="str">
        <x:v>扩展合约</x:v>
      </x:c>
      <x:c r="B23" s="14" t="str">
        <x:v>externalHandler</x:v>
      </x:c>
      <x:c r="C23" s="14" t="str">
        <x:v>⁠0x4359FC2F5f132D9f038Be64073CB956EfAc87352</x:v>
      </x:c>
      <x:c r="D23" s="14" t="str"/>
    </x:row>
    <x:row r="24">
      <x:c r="A24" s="14" t="str">
        <x:v>扩展合约</x:v>
      </x:c>
      <x:c r="B24" s="14" t="str">
        <x:v>mockUsdc</x:v>
      </x:c>
      <x:c r="C24" s="14" t="str">
        <x:v>⁠0xF300bBfB89106F54794aab6f7554ECfdAf32e154</x:v>
      </x:c>
      <x:c r="D24" s="14" t="str"/>
    </x:row>
    <x:row r="25">
      <x:c r="A25" s="14" t="str">
        <x:v>扩展合约</x:v>
      </x:c>
      <x:c r="B25" s="14" t="str">
        <x:v>mockUsdcOracle</x:v>
      </x:c>
      <x:c r="C25" s="14" t="str">
        <x:v>⁠0x2888982BA846222FC1466aC73179Ab97AD001e10</x:v>
      </x:c>
      <x:c r="D25" s="14" t="str"/>
    </x:row>
    <x:row r="26">
      <x:c r="A26" s="14" t="str">
        <x:v>扩展合约</x:v>
      </x:c>
      <x:c r="B26" s="14" t="str">
        <x:v>keeperReader</x:v>
      </x:c>
      <x:c r="C26" s="14" t="str">
        <x:v>⁠0x97DE29bC0D444CB982B06746e763cfaFF8d7eb38</x:v>
      </x:c>
      <x:c r="D26" s="14" t="str"/>
    </x:row>
    <x:row r="27">
      <x:c r="A27" s="14" t="str">
        <x:v>扩展合约</x:v>
      </x:c>
      <x:c r="B27" s="14" t="str">
        <x:v>marketFactory</x:v>
      </x:c>
      <x:c r="C27" s="14" t="str">
        <x:v>⁠0xd41d7ea390F6184dF904DE4263A4BEcE5d2B1816</x:v>
      </x:c>
      <x:c r="D27" s="14" t="str"/>
    </x:row>
    <x:row r="28">
      <x:c r="A28" s="14" t="str">
        <x:v>扩展合约</x:v>
      </x:c>
      <x:c r="B28" s="14" t="str">
        <x:v>chainlinkPriceFeedProvider</x:v>
      </x:c>
      <x:c r="C28" s="14" t="str">
        <x:v>⁠0x7ae5FdB923d25840FB4ceE822c3D800A48eF6E90</x:v>
      </x:c>
      <x:c r="D28" s="14" t="str"/>
    </x:row>
    <x:row r="29">
      <x:c r="A29" s="14" t="str">
        <x:v>扩展合约</x:v>
      </x:c>
      <x:c r="B29" s="14" t="str">
        <x:v>chainlinkDataStreamProvider</x:v>
      </x:c>
      <x:c r="C29" s="14" t="str">
        <x:v>⁠0x3FDdC12aD30a4493E396c7923b33182D841944D0</x:v>
      </x:c>
      <x:c r="D29" s="14" t="str"/>
    </x:row>
    <x:row r="30">
      <x:c r="A30" s="14" t="str">
        <x:v>扩展合约</x:v>
      </x:c>
      <x:c r="B30" s="14" t="str">
        <x:v>pythPriceFeedProvider</x:v>
      </x:c>
      <x:c r="C30" s="14" t="str">
        <x:v>⁠0x42DD59245572A9C9857Bba71C511a67d9567C8FE</x:v>
      </x:c>
      <x:c r="D30" s="14" t="str"/>
    </x:row>
    <x:row r="31">
      <x:c r="A31" s="14" t="str">
        <x:v>扩展合约</x:v>
      </x:c>
      <x:c r="B31" s="14" t="str">
        <x:v>subaccountRouter</x:v>
      </x:c>
      <x:c r="C31" s="14" t="str">
        <x:v>⁠0xb7B8332f600df5CBfEf65B464486bDfD963d2f1C</x:v>
      </x:c>
      <x:c r="D31" s="14" t="str"/>
    </x:row>
    <x:row r="32">
      <x:c r="A32" s="14" t="str">
        <x:v>扩展合约</x:v>
      </x:c>
      <x:c r="B32" s="14" t="str">
        <x:v>relayRouter</x:v>
      </x:c>
      <x:c r="C32" s="14" t="str">
        <x:v>⁠0xb25e3a0da2d4654144222800D639d0D17D001186</x:v>
      </x:c>
      <x:c r="D32" s="14" t="str"/>
    </x:row>
    <x:row r="33">
      <x:c r="A33" s="14" t="str">
        <x:v>扩展合约</x:v>
      </x:c>
      <x:c r="B33" s="14" t="str">
        <x:v>subaccountRelayRouter</x:v>
      </x:c>
      <x:c r="C33" s="14" t="str">
        <x:v>⁠0x1C038C1D34Ac612D408A60CeF38f4f3622CeE8a0</x:v>
      </x:c>
      <x:c r="D33" s="14" t="str"/>
    </x:row>
    <x:row r="34">
      <x:c r="A34" s="14" t="str">
        <x:v>扩展合约</x:v>
      </x:c>
      <x:c r="B34" s="14" t="str">
        <x:v>increaseOrderExecutor</x:v>
      </x:c>
      <x:c r="C34" s="14" t="str">
        <x:v>⁠0x8A23C6189459ced8844f3be2969CA12839C41eb2</x:v>
      </x:c>
      <x:c r="D34" s="14" t="str"/>
    </x:row>
    <x:row r="35">
      <x:c r="A35" s="14" t="str">
        <x:v>扩展合约</x:v>
      </x:c>
      <x:c r="B35" s="14" t="str">
        <x:v>decreaseOrderExecutor</x:v>
      </x:c>
      <x:c r="C35" s="14" t="str">
        <x:v>⁠0x9De8eDA16F88799DCBa811FDC8D9240Fbb709A1c</x:v>
      </x:c>
      <x:c r="D35" s="14" t="str"/>
    </x:row>
    <x:row r="36">
      <x:c r="A36" s="14" t="str">
        <x:v>扩展合约</x:v>
      </x:c>
      <x:c r="B36" s="14" t="str">
        <x:v>feeHandler</x:v>
      </x:c>
      <x:c r="C36" s="14" t="str">
        <x:v>⁠0x26E852e8D89109b5bb9B0621d6fb29D2D0BCed9D</x:v>
      </x:c>
      <x:c r="D36" s="14" t="str"/>
    </x:row>
    <x:row r="37">
      <x:c r="A37" s="14" t="str">
        <x:v>扩展合约</x:v>
      </x:c>
      <x:c r="B37" s="14" t="str">
        <x:v>protocolTreasury</x:v>
      </x:c>
      <x:c r="C37" s="14" t="str">
        <x:v>⁠0x4f184fC7862af8184a81e4E3007F5C8CA9cfebeE</x:v>
      </x:c>
      <x:c r="D37" s="14" t="str"/>
    </x:row>
    <x:row r="38">
      <x:c r="A38" s="14" t="str">
        <x:v>扩展合约</x:v>
      </x:c>
      <x:c r="B38" s="14" t="str">
        <x:v>insuranceTreasury</x:v>
      </x:c>
      <x:c r="C38" s="14" t="str">
        <x:v>⁠0xaaeaFd0ca2a17a4AAA0aA945D74779F05fF58F2A</x:v>
      </x:c>
      <x:c r="D38" s="14" t="str"/>
    </x:row>
    <x:row r="39">
      <x:c r="A39" s="14" t="str">
        <x:v>扩展合约</x:v>
      </x:c>
      <x:c r="B39" s="14" t="str">
        <x:v>revenuePool</x:v>
      </x:c>
      <x:c r="C39" s="14" t="str">
        <x:v>⁠0x48473691c59750Ee8d1FA45CBAd29f08D38092aC</x:v>
      </x:c>
      <x:c r="D39" s="14" t="str"/>
    </x:row>
    <x:row r="40">
      <x:c r="A40" s="14" t="str">
        <x:v>扩展合约</x:v>
      </x:c>
      <x:c r="B40" s="14" t="str">
        <x:v>autoCancelSyncer</x:v>
      </x:c>
      <x:c r="C40" s="14" t="str">
        <x:v>⁠0x990559F8341355415B38989DbE782dcA32c3b73d</x:v>
      </x:c>
      <x:c r="D40" s="14" t="str"/>
    </x:row>
    <x:row r="41">
      <x:c r="A41" s="14" t="str">
        <x:v>扩展合约</x:v>
      </x:c>
      <x:c r="B41" s="14" t="str">
        <x:v>configSyncer</x:v>
      </x:c>
      <x:c r="C41" s="14" t="str">
        <x:v>⁠0x51B6Af10CFcC2A3d541390428702E5624e8E269c</x:v>
      </x:c>
      <x:c r="D41" s="14" t="str"/>
    </x:row>
    <x:row r="42">
      <x:c r="A42" s="14" t="str">
        <x:v>扩展合约</x:v>
      </x:c>
      <x:c r="B42" s="14" t="str">
        <x:v>mockBtcOracle</x:v>
      </x:c>
      <x:c r="C42" s="14" t="str">
        <x:v>⁠0x56E99C391cE1C08074e764D5343930D767bFC053</x:v>
      </x:c>
      <x:c r="D42" s="14" t="str"/>
    </x:row>
    <x:row r="43">
      <x:c r="A43" s="14" t="str">
        <x:v>扩展合约</x:v>
      </x:c>
      <x:c r="B43" s="14" t="str">
        <x:v>mockEthOracle</x:v>
      </x:c>
      <x:c r="C43" s="14" t="str">
        <x:v>⁠0x29FD027b738FEe9ffDac257B5229167078130AdC</x:v>
      </x:c>
      <x:c r="D43" s="14" t="str"/>
    </x:row>
    <x:row r="44">
      <x:c r="A44" s="14" t="str">
        <x:v>扩展合约</x:v>
      </x:c>
      <x:c r="B44" s="14" t="str">
        <x:v>wnt</x:v>
      </x:c>
      <x:c r="C44" s="14" t="str">
        <x:v>⁠0x4200000000000000000000000000000000000006</x:v>
      </x:c>
      <x:c r="D44" s="14" t="str"/>
    </x:row>
    <x:row r="45">
      <x:c r="A45" s="14" t="str">
        <x:v>市场</x:v>
      </x:c>
      <x:c r="B45" s="14" t="str">
        <x:v>1 MOCK-BTC-USD</x:v>
      </x:c>
      <x:c r="C45" s="14" t="str">
        <x:v>⁠0x0555E30da8f98308EdB960aa94C0Db47230d2B9c</x:v>
      </x:c>
      <x:c r="D45" s="14" t="str">
        <x:v>collateral=0xF300bBfB89106F54794aab6f7554ECfdAf32e154; vault=0x46Fb4f1eeBf811A59dcf6E6343aC5be36122DdE8</x:v>
      </x:c>
    </x:row>
    <x:row r="46">
      <x:c r="A46" s="14" t="str">
        <x:v>市场</x:v>
      </x:c>
      <x:c r="B46" s="14" t="str">
        <x:v>2 ETH-USD</x:v>
      </x:c>
      <x:c r="C46" s="14" t="str">
        <x:v>⁠0x4200000000000000000000000000000000000006</x:v>
      </x:c>
      <x:c r="D46" s="14" t="str">
        <x:v>collateral=0xF300bBfB89106F54794aab6f7554ECfdAf32e154; vault=0x46Fb4f1eeBf811A59dcf6E6343aC5be36122DdE8</x:v>
      </x:c>
    </x:row>
    <x:row r="47">
      <x:c r="A47" s="14" t="str">
        <x:v>角色</x:v>
      </x:c>
      <x:c r="B47" s="14" t="str">
        <x:v>controller</x:v>
      </x:c>
      <x:c r="C47" s="14" t="str">
        <x:v>⁠0xf82CF35C5c0019861c2cDC65041C8Ac32970D403</x:v>
      </x:c>
      <x:c r="D47" s="14" t="str"/>
    </x:row>
    <x:row r="48">
      <x:c r="A48" s="14" t="str">
        <x:v>角色</x:v>
      </x:c>
      <x:c r="B48" s="14" t="str">
        <x:v>configKeeper</x:v>
      </x:c>
      <x:c r="C48" s="14" t="str">
        <x:v>⁠0xf82CF35C5c0019861c2cDC65041C8Ac32970D403</x:v>
      </x:c>
      <x:c r="D48" s="14" t="str"/>
    </x:row>
    <x:row r="49">
      <x:c r="A49" s="14" t="str">
        <x:v>角色</x:v>
      </x:c>
      <x:c r="B49" s="14" t="str">
        <x:v>orderKeeper</x:v>
      </x:c>
      <x:c r="C49" s="14" t="str">
        <x:v>⁠0x542fe841228416F6a3D65eb534a90Ebc5cc36354</x:v>
      </x:c>
      <x:c r="D49" s="14" t="str"/>
    </x:row>
    <x:row r="50">
      <x:c r="A50" s="14" t="str">
        <x:v>角色</x:v>
      </x:c>
      <x:c r="B50" s="14" t="str">
        <x:v>liquidationKeeper</x:v>
      </x:c>
      <x:c r="C50" s="14" t="str">
        <x:v>⁠0x542fe841228416F6a3D65eb534a90Ebc5cc36354</x:v>
      </x:c>
      <x:c r="D50" s="14" t="str"/>
    </x:row>
    <x:row r="51">
      <x:c r="A51" s="14" t="str">
        <x:v>角色</x:v>
      </x:c>
      <x:c r="B51" s="14" t="str">
        <x:v>adlKeeper</x:v>
      </x:c>
      <x:c r="C51" s="14" t="str">
        <x:v>⁠0x542fe841228416F6a3D65eb534a90Ebc5cc36354</x:v>
      </x:c>
      <x:c r="D51" s="14" t="str"/>
    </x:row>
  </x:sheetData>
  <x:pageMargins left="0.7" right="0.7" top="0.75" bottom="0.75" header="0.3" footer="0.3"/>
  <x:tableParts count="1">
    <x:tablePart xmlns:r="http://schemas.openxmlformats.org/officeDocument/2006/relationships" r:id="Rfebd4d88d5254a01"/>
  </x:tableParts>
</x:worksheet>
</file>